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SOP" state="visible" r:id="rId4"/>
    <sheet sheetId="2" name="⚙ Settings" state="visible" r:id="rId5"/>
    <sheet sheetId="3" name="📊 Dashboard" state="visible" r:id="rId6"/>
    <sheet sheetId="4" name="January" state="visible" r:id="rId7"/>
    <sheet sheetId="5" name="February" state="visible" r:id="rId8"/>
    <sheet sheetId="6" name="March" state="visible" r:id="rId9"/>
    <sheet sheetId="7" name="April" state="visible" r:id="rId10"/>
    <sheet sheetId="8" name="May" state="visible" r:id="rId11"/>
    <sheet sheetId="9" name="June" state="visible" r:id="rId12"/>
    <sheet sheetId="10" name="July" state="visible" r:id="rId13"/>
    <sheet sheetId="11" name="August" state="visible" r:id="rId14"/>
    <sheet sheetId="12" name="September" state="visible" r:id="rId15"/>
    <sheet sheetId="13" name="October" state="visible" r:id="rId16"/>
    <sheet sheetId="14" name="November" state="visible" r:id="rId17"/>
    <sheet sheetId="15" name="December" state="visible" r:id="rId18"/>
  </sheets>
  <calcPr calcId="171027"/>
</workbook>
</file>

<file path=xl/sharedStrings.xml><?xml version="1.0" encoding="utf-8"?>
<sst xmlns="http://schemas.openxmlformats.org/spreadsheetml/2006/main" count="527" uniqueCount="225">
  <si>
    <t xml:space="preserve">  📊   E-COMMERCE P&amp;L TRACKER  —  STANDARD OPERATING PROCEDURE</t>
  </si>
  <si>
    <t xml:space="preserve">  Version 1.0  ·  Baseline Year: 2026  ·  For use by: Blueprint Academy</t>
  </si>
  <si>
    <t xml:space="preserve">  1.  PURPOSE &amp; OVERVIEW</t>
  </si>
  <si>
    <t>This tracker is a daily Profit &amp; Loss tool built for e-commerce store owners. It records revenue, refunds, advertising spend, agency fees, cost of goods, and transaction fees on a daily basis — and automatically calculates net profit, profit margin, ROAS, and cumulative profit for each month. An annual Dashboard consolidates all 12 months into a single view.</t>
  </si>
  <si>
    <t xml:space="preserve">  2.  WORKBOOK STRUCTURE</t>
  </si>
  <si>
    <t>TAB 1</t>
  </si>
  <si>
    <t>📋 SOP</t>
  </si>
  <si>
    <t>This document. Read before using the tracker.</t>
  </si>
  <si>
    <t>TAB 2</t>
  </si>
  <si>
    <t>⚙ Settings</t>
  </si>
  <si>
    <t>Set your currency (€ / $ / £), baseline year, and default fee percentages here. Do this FIRST before entering any data.</t>
  </si>
  <si>
    <t>TAB 3</t>
  </si>
  <si>
    <t>📊 Dashboard</t>
  </si>
  <si>
    <t>Annual summary with KPIs and monthly breakdown. Read-only — all values pull automatically from the monthly sheets.</t>
  </si>
  <si>
    <t>TAB 4–15</t>
  </si>
  <si>
    <t>January → December</t>
  </si>
  <si>
    <t>One tab per month. Enter your daily data here. Each sheet covers all days of that month.</t>
  </si>
  <si>
    <t xml:space="preserve">  3.  FIRST-TIME SETUP  (do this once)</t>
  </si>
  <si>
    <t>Step 1</t>
  </si>
  <si>
    <t>Open the ⚙ Settings tab</t>
  </si>
  <si>
    <t>Navigate to the Settings tab (second tab in the workbook).</t>
  </si>
  <si>
    <t>Step 2</t>
  </si>
  <si>
    <t>Select your currency</t>
  </si>
  <si>
    <t>Click cell C6 and choose your currency from the dropdown: € (EUR), $ (USD), or £ (GBP). The symbol will appear in all sheet headers automatically.</t>
  </si>
  <si>
    <t>Step 3</t>
  </si>
  <si>
    <t>Confirm the year</t>
  </si>
  <si>
    <t>Cell C10 shows the baseline year (2026). If you are starting a new year, duplicate the entire file and update this cell.</t>
  </si>
  <si>
    <t>Step 4</t>
  </si>
  <si>
    <t>Set default fee percentages</t>
  </si>
  <si>
    <t>In cells C14, C15, and C16 set your Agency Fee (Facebook), Agency Fee (Google), and Transaction Fee defaults. These are pre-filled in each monthly sheet but can be overridden per month.</t>
  </si>
  <si>
    <t>Step 5</t>
  </si>
  <si>
    <t>You're ready to enter data</t>
  </si>
  <si>
    <t>Navigate to the month tab you want to start with and begin entering daily figures.</t>
  </si>
  <si>
    <t xml:space="preserve">  ⚠️  Important: Complete the Settings tab before entering any data to ensure formulas reference the correct values.</t>
  </si>
  <si>
    <t xml:space="preserve">  4.  DAILY DATA ENTRY  (do this every day)</t>
  </si>
  <si>
    <t>In each monthly sheet, only the BLUE-highlighted columns require manual input. All other columns calculate automatically.</t>
  </si>
  <si>
    <t>Col A</t>
  </si>
  <si>
    <t>Date</t>
  </si>
  <si>
    <t>Pre-filled automatically. Do not edit.</t>
  </si>
  <si>
    <t>Col B</t>
  </si>
  <si>
    <t>Gross Revenue</t>
  </si>
  <si>
    <t>Enter the total revenue generated that day BEFORE deducting refunds. Include all sales channels.</t>
  </si>
  <si>
    <t>Col C</t>
  </si>
  <si>
    <t>Refunds</t>
  </si>
  <si>
    <t>Enter the total value of refunds/returns processed that day.</t>
  </si>
  <si>
    <t>Col D</t>
  </si>
  <si>
    <t>Net Revenue</t>
  </si>
  <si>
    <t>AUTO: Gross Revenue minus Refunds.</t>
  </si>
  <si>
    <t>Col E</t>
  </si>
  <si>
    <t>Cost of Goods (COGS)</t>
  </si>
  <si>
    <t>Enter the total cost of products sold that day (purchase price, manufacturing, fulfilment).</t>
  </si>
  <si>
    <t>Col F</t>
  </si>
  <si>
    <t>Adspend — Facebook</t>
  </si>
  <si>
    <t>Enter the total Facebook/Meta advertising spend for that day.</t>
  </si>
  <si>
    <t>Col G</t>
  </si>
  <si>
    <t>Adspend — Google</t>
  </si>
  <si>
    <t>Enter the total Google Ads advertising spend for that day.</t>
  </si>
  <si>
    <t>Col H</t>
  </si>
  <si>
    <t>Agency Fee — Facebook</t>
  </si>
  <si>
    <t>AUTO: Calculated as Adspend FB × Agency Fee FB %. Override the % in row 4.</t>
  </si>
  <si>
    <t>Col I</t>
  </si>
  <si>
    <t>Agency Fee — Google</t>
  </si>
  <si>
    <t>AUTO: Calculated as Adspend Google × Agency Fee Google %. Override the % in row 4.</t>
  </si>
  <si>
    <t>Col J</t>
  </si>
  <si>
    <t>Transaction Fee</t>
  </si>
  <si>
    <t>AUTO: Calculated as Gross Revenue × Transaction Fee %. Override the % in row 4.</t>
  </si>
  <si>
    <t>Col K</t>
  </si>
  <si>
    <t>Total Costs</t>
  </si>
  <si>
    <t>AUTO: Sum of COGS + Adspend FB + Adspend Google + Agency Fees + Transaction Fee.</t>
  </si>
  <si>
    <t>Col L</t>
  </si>
  <si>
    <t>Profit</t>
  </si>
  <si>
    <t>AUTO: Net Revenue minus Total Costs. Green = positive, Red = negative.</t>
  </si>
  <si>
    <t>Col M</t>
  </si>
  <si>
    <t>Profit Margin %</t>
  </si>
  <si>
    <t>AUTO: Profit ÷ Net Revenue. Green &gt; 15% | Amber 0–15% | Red &lt; 0%.</t>
  </si>
  <si>
    <t>Col N</t>
  </si>
  <si>
    <t>COG Impact %</t>
  </si>
  <si>
    <t>AUTO: Cost of Goods ÷ Net Revenue. Shows how much of your revenue is absorbed by product costs.</t>
  </si>
  <si>
    <t>Col O</t>
  </si>
  <si>
    <t>ROAS</t>
  </si>
  <si>
    <t>AUTO: Net Revenue ÷ (Adspend FB + Adspend Google). Return on Ad Spend.</t>
  </si>
  <si>
    <t>Col P</t>
  </si>
  <si>
    <t>Cumulative Profit</t>
  </si>
  <si>
    <t>AUTO: Running total of profit from day 1 to the current day within the month.</t>
  </si>
  <si>
    <t>Col Q</t>
  </si>
  <si>
    <t>Notes</t>
  </si>
  <si>
    <t>Free text. Use this to log campaign names, promotions, anomalies, or any day-specific context.</t>
  </si>
  <si>
    <t xml:space="preserve">  5.  OVERRIDING FEES PER MONTH</t>
  </si>
  <si>
    <t>Row 4</t>
  </si>
  <si>
    <t>Fee Labels</t>
  </si>
  <si>
    <t>Rows 3–4 of each monthly sheet display the three fee assumptions.</t>
  </si>
  <si>
    <t>Edit</t>
  </si>
  <si>
    <t>Change a %</t>
  </si>
  <si>
    <t>Click the yellow cell in row 4 (Agency Fee FB, Agency Fee Google, or Transaction Fee) and type a new percentage. All rows in that month will recalculate instantly.</t>
  </si>
  <si>
    <t xml:space="preserve">  💡  Each month has its own independent fee settings. Changing January's fees does not affect February.</t>
  </si>
  <si>
    <t xml:space="preserve">  6.  COLOUR CODING GUIDE</t>
  </si>
  <si>
    <t>●</t>
  </si>
  <si>
    <t>🔵 Blue background</t>
  </si>
  <si>
    <t>Manual input cells — these are the only cells you should type into.</t>
  </si>
  <si>
    <t>⬜ White/Grey bg</t>
  </si>
  <si>
    <t>Auto-calculated cells — do not edit. These update when you change blue cells.</t>
  </si>
  <si>
    <t>🟡 Yellow background</t>
  </si>
  <si>
    <t>Assumption cells (fee percentages) — editable. Changes cascade to all rows.</t>
  </si>
  <si>
    <t>🟢 Green cell</t>
  </si>
  <si>
    <t>Profit or Margin is positive and above 15%. Healthy performance.</t>
  </si>
  <si>
    <t>🟡 Amber cell</t>
  </si>
  <si>
    <t>Profit Margin is between 0% and 15%. Marginal — review costs.</t>
  </si>
  <si>
    <t>🔴 Red cell</t>
  </si>
  <si>
    <t>Profit or Margin is negative. Immediate attention required.</t>
  </si>
  <si>
    <t>🟣 Purple</t>
  </si>
  <si>
    <t>ROAS values — Return on Ad Spend metric.</t>
  </si>
  <si>
    <t xml:space="preserve">  7.  USING THE DASHBOARD</t>
  </si>
  <si>
    <t>View</t>
  </si>
  <si>
    <t>Annual KPIs</t>
  </si>
  <si>
    <t>The Dashboard shows 6 annual KPIs: Gross Revenue, Net Revenue, Total Profit, Profit Margin, ROAS, and Total Adspend — all summed across all 12 months.</t>
  </si>
  <si>
    <t>Monthly Breakdown</t>
  </si>
  <si>
    <t>The table below the KPIs shows each month's Gross Revenue, Net Revenue, Profit, Margin %, and ROAS with conditional colour coding.</t>
  </si>
  <si>
    <t>Note</t>
  </si>
  <si>
    <t>Read-only</t>
  </si>
  <si>
    <t>Never edit cells on the Dashboard directly. All data flows automatically from the monthly sheets.</t>
  </si>
  <si>
    <t xml:space="preserve">  8.  STARTING A NEW YEAR</t>
  </si>
  <si>
    <t>Duplicate the file</t>
  </si>
  <si>
    <t>Right-click the file in your file explorer and select "Duplicate" or "Copy". Rename the copy (e.g. "P&amp;L Tracker 2027").</t>
  </si>
  <si>
    <t>Update Settings</t>
  </si>
  <si>
    <t>Open the new file, go to ⚙ Settings, and update cell C10 to the new year.</t>
  </si>
  <si>
    <t>Clear data</t>
  </si>
  <si>
    <t>In each monthly sheet, clear the blue input cells (Columns B, C, E, F, G) and the Notes column (Q). Do NOT clear formula columns.</t>
  </si>
  <si>
    <t>Review fee assumptions</t>
  </si>
  <si>
    <t>Update fee percentages in rows 3–4 of each month if your agency or payment terms have changed.</t>
  </si>
  <si>
    <t xml:space="preserve">  ✅  Tip: Use the original file as a master template. Always duplicate it rather than editing the original.</t>
  </si>
  <si>
    <t xml:space="preserve">  9.  TROUBLESHOOTING</t>
  </si>
  <si>
    <t>Issue</t>
  </si>
  <si>
    <t>Seeing "-" in result cells</t>
  </si>
  <si>
    <t>This is expected when Gross Revenue = 0 for that day. The tracker suppresses division errors automatically.</t>
  </si>
  <si>
    <t>Formula cells showing wrong values</t>
  </si>
  <si>
    <t>Check that you have not accidentally typed into a grey/white formula cell. Press Ctrl+Z to undo and restore the formula.</t>
  </si>
  <si>
    <t>Currency symbol not updating</t>
  </si>
  <si>
    <t>The currency symbol is displayed in column headers. Go to ⚙ Settings → C6 and reselect your currency. Column headers in each month reference this cell.</t>
  </si>
  <si>
    <t>Fees not calculating correctly</t>
  </si>
  <si>
    <t>Check that the fee % cells in rows 3–4 of the monthly sheet are correct. They should contain decimal values (e.g. 0.06 for 6%, not 6).</t>
  </si>
  <si>
    <t>Dashboard shows 0 for all months</t>
  </si>
  <si>
    <t>Ensure you have entered data in the monthly sheets. The Dashboard pulls from the TOTAL row of each month.</t>
  </si>
  <si>
    <t xml:space="preserve">  10. GLOSSARY</t>
  </si>
  <si>
    <t>→</t>
  </si>
  <si>
    <t>Total sales revenue before any deductions.</t>
  </si>
  <si>
    <t>Value of orders returned or refunded to customers.</t>
  </si>
  <si>
    <t>Gross Revenue minus Refunds. The actual revenue earned.</t>
  </si>
  <si>
    <t>COGS</t>
  </si>
  <si>
    <t>Cost of Goods Sold — direct cost to produce/purchase the items sold.</t>
  </si>
  <si>
    <t>Adspend</t>
  </si>
  <si>
    <t>Money spent on paid advertising (Facebook/Meta and Google Ads).</t>
  </si>
  <si>
    <t>Agency Fee</t>
  </si>
  <si>
    <t>Percentage charged by your media agency on top of adspend.</t>
  </si>
  <si>
    <t>Payment processing fee charged as a % of gross revenue (e.g. Stripe, PayPal).</t>
  </si>
  <si>
    <t>Net Revenue minus all costs (COGS, adspend, fees). The bottom line.</t>
  </si>
  <si>
    <t>Profit ÷ Net Revenue × 100. Percentage of revenue retained as profit.</t>
  </si>
  <si>
    <t>COGS ÷ Net Revenue × 100. How much of revenue is consumed by product costs.</t>
  </si>
  <si>
    <t>Return on Ad Spend. Net Revenue ÷ Total Adspend. A ROAS of 3x means €3 earned per €1 spent on ads.</t>
  </si>
  <si>
    <t>Running total of profit from day 1 to current day within the month.</t>
  </si>
  <si>
    <t xml:space="preserve"> Blueprint Academy ·  SOP v1.0  ·  Year 2026  ·  For internal use only</t>
  </si>
  <si>
    <t xml:space="preserve">  ⚙️   Global Settings  —  E-Commerce P&amp;L Tracker</t>
  </si>
  <si>
    <t>CURRENCY SETTINGS</t>
  </si>
  <si>
    <t>Currency Symbol</t>
  </si>
  <si>
    <t>€</t>
  </si>
  <si>
    <t>Choose your currency from the dropdown above (C6). All monthly sheets will display the selected symbol.</t>
  </si>
  <si>
    <t>YEAR SETTINGS</t>
  </si>
  <si>
    <t>Baseline Year</t>
  </si>
  <si>
    <t>To use this tracker for a new year: duplicate the entire file and update the year above.</t>
  </si>
  <si>
    <t>DEFAULT FEE ASSUMPTIONS  (applied as defaults in each monthly sheet — you can override per month)</t>
  </si>
  <si>
    <t>Editable — change this to update the default for all sheets</t>
  </si>
  <si>
    <t xml:space="preserve">  📊   E-Commerce P&amp;L Dashboard  —  2026</t>
  </si>
  <si>
    <t>ANNUAL SUMMARY  —  all values pull automatically from monthly sheets</t>
  </si>
  <si>
    <t>💰 Gross Revenue</t>
  </si>
  <si>
    <t>💵 Net Revenue</t>
  </si>
  <si>
    <t>📈 Total Profit</t>
  </si>
  <si>
    <t>📊 Profit Margin</t>
  </si>
  <si>
    <t>🎯 ROAS</t>
  </si>
  <si>
    <t>📣 Total Adspend</t>
  </si>
  <si>
    <t>MONTHLY BREAKDOWN</t>
  </si>
  <si>
    <t>MONTH</t>
  </si>
  <si>
    <t>GROSS REVENUE</t>
  </si>
  <si>
    <t>NET REVENUE</t>
  </si>
  <si>
    <t>PROFIT</t>
  </si>
  <si>
    <t>MARGIN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</si>
  <si>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</si>
  <si>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</si>
  <si>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</si>
  <si>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</si>
  <si>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</si>
  <si>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</si>
  <si>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</si>
  <si>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</si>
  <si>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</si>
  <si>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</si>
  <si>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</si>
  <si>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</si>
  <si>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</si>
  <si>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 xml:space="preserve">  💡  To enter data, open the relevant month tab  ·  All values on this dashboard update automatically  ·  See 📋 SOP for full instructions</t>
  </si>
  <si>
    <t xml:space="preserve">  📊   Profit &amp; Loss  —  January 2026</t>
  </si>
  <si>
    <t>💡  Edit the coloured % cells above to update all fee calculations for this month automatically</t>
  </si>
  <si>
    <t xml:space="preserve">Gross
Revenue</t>
  </si>
  <si>
    <t xml:space="preserve">Net
Revenue</t>
  </si>
  <si>
    <t xml:space="preserve">Cost of
Goods</t>
  </si>
  <si>
    <t xml:space="preserve">Adspend
Facebook</t>
  </si>
  <si>
    <t xml:space="preserve">Adspend
Google</t>
  </si>
  <si>
    <t xml:space="preserve">Agency Fee
FB</t>
  </si>
  <si>
    <t xml:space="preserve">Agency Fee
Google</t>
  </si>
  <si>
    <t xml:space="preserve">Transaction
Fee</t>
  </si>
  <si>
    <t xml:space="preserve">Total
Costs</t>
  </si>
  <si>
    <t xml:space="preserve">Profit
Margin %</t>
  </si>
  <si>
    <t xml:space="preserve">COG
Impact %</t>
  </si>
  <si>
    <t xml:space="preserve">Cumulative
Profit</t>
  </si>
  <si>
    <t>TOTAL</t>
  </si>
  <si>
    <t xml:space="preserve">  🔵 Blue = enter manually   |   ⬜ White/Grey = auto-calculated   |   🟡 Yellow = editable fee %   |   🟢 Green = positive   |   🟡 Amber = 0–15% margin   |   🔴 Red = negative</t>
  </si>
  <si>
    <t xml:space="preserve">  📊   Profit &amp; Loss  —  February 2026</t>
  </si>
  <si>
    <t xml:space="preserve">  📊   Profit &amp; Loss  —  March 2026</t>
  </si>
  <si>
    <t xml:space="preserve">  📊   Profit &amp; Loss  —  April 2026</t>
  </si>
  <si>
    <t xml:space="preserve">  📊   Profit &amp; Loss  —  May 2026</t>
  </si>
  <si>
    <t xml:space="preserve">  📊   Profit &amp; Loss  —  June 2026</t>
  </si>
  <si>
    <t xml:space="preserve">  📊   Profit &amp; Loss  —  July 2026</t>
  </si>
  <si>
    <t xml:space="preserve">  📊   Profit &amp; Loss  —  August 2026</t>
  </si>
  <si>
    <t xml:space="preserve">  📊   Profit &amp; Loss  —  September 2026</t>
  </si>
  <si>
    <t xml:space="preserve">  📊   Profit &amp; Loss  —  October 2026</t>
  </si>
  <si>
    <t xml:space="preserve">  📊   Profit &amp; Loss  —  November 2026</t>
  </si>
  <si>
    <t xml:space="preserve">  📊   Profit &amp; Loss  —  December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</si>
</sst>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;(0.0%);-"/>
    <numFmt numFmtId="165" formatCode="#,##0.00;(#,##0.00);-"/>
    <numFmt numFmtId="166" formatCode="#,##0.00x;(#,##0.00&quot;x)&quot;;-"/>
    <numFmt numFmtId="167" formatCode="dd mmm"/>
  </numFmts>
  <fonts count="45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rgb="FFFFFFFF"/>
      <sz val="18"/>
      <name val="Calibri"/>
    </font>
    <font/>
    <font>
      <i/>
      <color rgb="FF676879"/>
      <sz val="10"/>
      <name val="Calibri"/>
    </font>
    <font>
      <b/>
      <color rgb="FFFFFFFF"/>
      <sz val="12"/>
      <name val="Calibri"/>
    </font>
    <font>
      <color rgb="FF323338"/>
      <sz val="10"/>
      <name val="Calibri"/>
    </font>
    <font>
      <b/>
      <color rgb="FFFFFFFF"/>
      <sz val="10"/>
      <name val="Calibri"/>
    </font>
    <font>
      <b/>
      <color rgb="FF323338"/>
      <sz val="10"/>
      <name val="Calibri"/>
    </font>
    <font>
      <color rgb="FF676879"/>
      <sz val="10"/>
      <name val="Calibri"/>
    </font>
    <font>
      <i/>
      <color rgb="FF676879"/>
      <sz val="9"/>
      <name val="Calibri"/>
    </font>
    <font>
      <b/>
      <color rgb="FF0073EA"/>
      <sz val="10"/>
      <name val="Calibri"/>
    </font>
    <font>
      <i/>
      <color rgb="FFFFFFFF"/>
      <sz val="9"/>
      <name val="Calibri"/>
    </font>
    <font>
      <b/>
      <color rgb="FFFFFFFF"/>
      <sz val="15"/>
      <name val="Calibri"/>
    </font>
    <font>
      <b/>
      <color rgb="FF676879"/>
      <sz val="10"/>
      <name val="Calibri"/>
    </font>
    <font>
      <b/>
      <color rgb="FF6C5CE7"/>
      <sz val="14"/>
      <name val="Calibri"/>
    </font>
    <font>
      <b/>
      <color rgb="FF0073EA"/>
      <sz val="14"/>
      <name val="Calibri"/>
    </font>
    <font>
      <b/>
      <color rgb="FF6C5CE7"/>
      <sz val="12"/>
      <name val="Calibri"/>
    </font>
    <font>
      <b/>
      <color rgb="FF0073EA"/>
      <sz val="12"/>
      <name val="Calibri"/>
    </font>
    <font>
      <b/>
      <color rgb="FF00D0C3"/>
      <sz val="12"/>
      <name val="Calibri"/>
    </font>
    <font>
      <b/>
      <color rgb="FFFDAB3D"/>
      <sz val="12"/>
      <name val="Calibri"/>
    </font>
    <font>
      <b/>
      <color rgb="FF676879"/>
      <sz val="9"/>
      <name val="Calibri"/>
    </font>
    <font>
      <b/>
      <color rgb="FF0073EA"/>
      <sz val="16"/>
      <name val="Calibri"/>
    </font>
    <font>
      <b/>
      <color rgb="FF00D0C3"/>
      <sz val="16"/>
      <name val="Calibri"/>
    </font>
    <font>
      <b/>
      <color rgb="FF00C875"/>
      <sz val="16"/>
      <name val="Calibri"/>
    </font>
    <font>
      <b/>
      <color rgb="FF6C5CE7"/>
      <sz val="16"/>
      <name val="Calibri"/>
    </font>
    <font>
      <b/>
      <color rgb="FFFDAB3D"/>
      <sz val="16"/>
      <name val="Calibri"/>
    </font>
    <font>
      <b/>
      <color rgb="FFE2445C"/>
      <sz val="16"/>
      <name val="Calibri"/>
    </font>
    <font>
      <b/>
      <color rgb="FF323338"/>
      <sz val="9"/>
      <name val="Calibri"/>
    </font>
    <font>
      <b/>
      <color rgb="FF0073EA"/>
      <sz val="9"/>
      <name val="Calibri"/>
    </font>
    <font>
      <b/>
      <color rgb="FF00D0C3"/>
      <sz val="9"/>
      <name val="Calibri"/>
    </font>
    <font>
      <b/>
      <color rgb="FF00C875"/>
      <sz val="9"/>
      <name val="Calibri"/>
    </font>
    <font>
      <b/>
      <color rgb="FF6C5CE7"/>
      <sz val="9"/>
      <name val="Calibri"/>
    </font>
    <font>
      <b/>
      <color rgb="FFFDAB3D"/>
      <sz val="9"/>
      <name val="Calibri"/>
    </font>
    <font>
      <color rgb="FF6C5CE7"/>
      <sz val="10"/>
      <name val="Calibri"/>
    </font>
    <font>
      <b/>
      <color rgb="FFFFFFFF"/>
      <sz val="11"/>
      <name val="Calibri"/>
    </font>
    <font>
      <b/>
      <color rgb="FF323338"/>
      <sz val="11"/>
      <name val="Calibri"/>
    </font>
    <font>
      <b/>
      <color rgb="FF6C5CE7"/>
      <sz val="11"/>
      <name val="Calibri"/>
    </font>
    <font>
      <b/>
      <color rgb="FF00D0C3"/>
      <sz val="14"/>
      <name val="Calibri"/>
    </font>
    <font>
      <color rgb="FF0073EA"/>
      <sz val="10"/>
      <name val="Calibri"/>
    </font>
    <font>
      <b/>
      <color rgb="FFFDAB3D"/>
      <sz val="10"/>
      <name val="Calibri"/>
    </font>
    <font>
      <b/>
      <color rgb="FF6C5CE7"/>
      <sz val="10"/>
      <name val="Calibri"/>
    </font>
    <font>
      <b/>
      <color rgb="FFFDAB3D"/>
      <sz val="11"/>
      <name val="Calibri"/>
    </font>
    <font>
      <b/>
      <color rgb="FF676879"/>
      <sz val="11"/>
      <name val="Calibri"/>
    </font>
    <font>
      <i/>
      <color rgb="FF676879"/>
      <sz val="8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5F6F8"/>
        <bgColor rgb="FFF5F6F8"/>
      </patternFill>
    </fill>
    <fill>
      <patternFill patternType="solid">
        <fgColor rgb="FF1F1F2E"/>
        <bgColor rgb="FF1F1F2E"/>
      </patternFill>
    </fill>
    <fill>
      <patternFill patternType="solid">
        <fgColor rgb="FF6C5CE7"/>
        <bgColor rgb="FF6C5CE7"/>
      </patternFill>
    </fill>
    <fill>
      <patternFill patternType="solid">
        <fgColor rgb="FFFFFFFF"/>
        <bgColor rgb="FFFFFFFF"/>
      </patternFill>
    </fill>
    <fill>
      <patternFill patternType="solid">
        <fgColor rgb="FF0073EA"/>
        <bgColor rgb="FF0073EA"/>
      </patternFill>
    </fill>
    <fill>
      <patternFill patternType="solid">
        <fgColor rgb="FF00D0C3"/>
        <bgColor rgb="FF00D0C3"/>
      </patternFill>
    </fill>
    <fill>
      <patternFill patternType="solid">
        <fgColor rgb="FFFFF3E0"/>
        <bgColor rgb="FFFFF3E0"/>
      </patternFill>
    </fill>
    <fill>
      <patternFill patternType="solid">
        <fgColor rgb="FF00C875"/>
        <bgColor rgb="FF00C875"/>
      </patternFill>
    </fill>
    <fill>
      <patternFill patternType="solid">
        <fgColor rgb="FFE6F2FF"/>
        <bgColor rgb="FFE6F2FF"/>
      </patternFill>
    </fill>
    <fill>
      <patternFill patternType="solid">
        <fgColor rgb="FFFDAB3D"/>
        <bgColor rgb="FFFDAB3D"/>
      </patternFill>
    </fill>
    <fill>
      <patternFill patternType="solid">
        <fgColor rgb="FFE2445C"/>
        <bgColor rgb="FFE2445C"/>
      </patternFill>
    </fill>
    <fill>
      <patternFill patternType="solid">
        <fgColor rgb="FF676879"/>
        <bgColor rgb="FF676879"/>
      </patternFill>
    </fill>
    <fill>
      <patternFill patternType="solid">
        <fgColor rgb="FFEDE8FF"/>
        <bgColor rgb="FFEDE8FF"/>
      </patternFill>
    </fill>
    <fill>
      <patternFill patternType="solid">
        <fgColor rgb="FFE0FAF9"/>
        <bgColor rgb="FFE0FAF9"/>
      </patternFill>
    </fill>
    <fill>
      <patternFill patternType="solid">
        <fgColor rgb="FFD7F3E8"/>
        <bgColor rgb="FFD7F3E8"/>
      </patternFill>
    </fill>
    <fill>
      <patternFill patternType="solid">
        <fgColor rgb="FFFDEDF0"/>
        <bgColor rgb="FFFDEDF0"/>
      </patternFill>
    </fill>
    <fill>
      <patternFill patternType="solid">
        <fgColor rgb="FFFAFBFC"/>
        <bgColor rgb="FFFAFBFC"/>
      </patternFill>
    </fill>
    <fill>
      <patternFill patternType="solid">
        <fgColor rgb="FFFFFBF0"/>
        <bgColor rgb="FFFFFBF0"/>
      </patternFill>
    </fill>
    <fill>
      <patternFill patternType="solid">
        <fgColor rgb="FFC5C7D4"/>
        <bgColor rgb="FFC5C7D4"/>
      </patternFill>
    </fill>
    <fill>
      <patternFill patternType="solid">
        <fgColor rgb="FFF0F4FF"/>
        <bgColor rgb="FFF0F4FF"/>
      </patternFill>
    </fill>
  </fills>
  <borders count="33">
    <border>
      <left/>
      <right/>
      <top/>
      <bottom/>
      <diagonal/>
    </border>
    <border>
      <left style="thin">
        <color rgb="FFC5C7D4"/>
      </left>
      <right/>
      <top style="thin">
        <color rgb="FFC5C7D4"/>
      </top>
      <bottom style="thin">
        <color rgb="FFC5C7D4"/>
      </bottom>
      <diagonal/>
    </border>
    <border>
      <left/>
      <right/>
      <top style="thin">
        <color rgb="FFC5C7D4"/>
      </top>
      <bottom style="thin">
        <color rgb="FFC5C7D4"/>
      </bottom>
      <diagonal/>
    </border>
    <border>
      <left style="thin">
        <color rgb="FF6C5CE7"/>
      </left>
      <right style="thin">
        <color rgb="FF6C5CE7"/>
      </right>
      <top style="thin">
        <color rgb="FF6C5CE7"/>
      </top>
      <bottom style="thin">
        <color rgb="FF6C5CE7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thin">
        <color rgb="FFC5C7D4"/>
      </bottom>
      <diagonal/>
    </border>
    <border>
      <left style="thin">
        <color rgb="FFFDAB3D"/>
      </left>
      <right/>
      <top style="thin">
        <color rgb="FFFDAB3D"/>
      </top>
      <bottom style="thin">
        <color rgb="FFFDAB3D"/>
      </bottom>
      <diagonal/>
    </border>
    <border>
      <left/>
      <right/>
      <top style="thin">
        <color rgb="FFFDAB3D"/>
      </top>
      <bottom style="thin">
        <color rgb="FFFDAB3D"/>
      </bottom>
      <diagonal/>
    </border>
    <border>
      <left style="thin">
        <color rgb="FF0073EA"/>
      </left>
      <right/>
      <top style="thin">
        <color rgb="FF0073EA"/>
      </top>
      <bottom style="thin">
        <color rgb="FF0073EA"/>
      </bottom>
      <diagonal/>
    </border>
    <border>
      <left/>
      <right/>
      <top style="thin">
        <color rgb="FF0073EA"/>
      </top>
      <bottom style="thin">
        <color rgb="FF0073EA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6C5CE7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73EA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D0C3"/>
      </bottom>
      <diagonal/>
    </border>
    <border>
      <left style="thin">
        <color rgb="FF0073EA"/>
      </left>
      <right style="thin">
        <color rgb="FF0073EA"/>
      </right>
      <top style="thin">
        <color rgb="FF0073EA"/>
      </top>
      <bottom style="thin">
        <color rgb="FF0073EA"/>
      </bottom>
      <diagonal/>
    </border>
    <border>
      <left style="thin">
        <color rgb="FF00D0C3"/>
      </left>
      <right style="thin">
        <color rgb="FF00D0C3"/>
      </right>
      <top style="thin">
        <color rgb="FF00D0C3"/>
      </top>
      <bottom style="thin">
        <color rgb="FF00D0C3"/>
      </bottom>
      <diagonal/>
    </border>
    <border>
      <left style="thin">
        <color rgb="FF00C875"/>
      </left>
      <right style="thin">
        <color rgb="FF00C875"/>
      </right>
      <top style="thin">
        <color rgb="FF00C875"/>
      </top>
      <bottom style="thin">
        <color rgb="FF00C875"/>
      </bottom>
      <diagonal/>
    </border>
    <border>
      <left style="thin">
        <color rgb="FFFDAB3D"/>
      </left>
      <right style="thin">
        <color rgb="FFFDAB3D"/>
      </right>
      <top style="thin">
        <color rgb="FFFDAB3D"/>
      </top>
      <bottom style="thin">
        <color rgb="FFFDAB3D"/>
      </bottom>
      <diagonal/>
    </border>
    <border>
      <left style="thin">
        <color rgb="FFE2445C"/>
      </left>
      <right style="thin">
        <color rgb="FFE2445C"/>
      </right>
      <top style="thin">
        <color rgb="FFE2445C"/>
      </top>
      <bottom style="thin">
        <color rgb="FFE2445C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C875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FDAB3D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E2445C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323338"/>
      </bottom>
      <diagonal/>
    </border>
    <border>
      <left style="thin">
        <color rgb="FF1F1F2E"/>
      </left>
      <right style="thin">
        <color rgb="FF1F1F2E"/>
      </right>
      <top style="thin">
        <color rgb="FF1F1F2E"/>
      </top>
      <bottom style="thin">
        <color rgb="FF1F1F2E"/>
      </bottom>
      <diagonal/>
    </border>
    <border>
      <left style="thin">
        <color rgb="FF6C5CE7"/>
      </left>
      <right/>
      <top style="thin">
        <color rgb="FF6C5CE7"/>
      </top>
      <bottom style="thin">
        <color rgb="FF6C5CE7"/>
      </bottom>
      <diagonal/>
    </border>
    <border>
      <left/>
      <right/>
      <top style="thin">
        <color rgb="FF6C5CE7"/>
      </top>
      <bottom style="thin">
        <color rgb="FF6C5CE7"/>
      </bottom>
      <diagonal/>
    </border>
    <border>
      <left style="thin">
        <color rgb="FF00D0C3"/>
      </left>
      <right/>
      <top style="thin">
        <color rgb="FF00D0C3"/>
      </top>
      <bottom style="thin">
        <color rgb="FF00D0C3"/>
      </bottom>
      <diagonal/>
    </border>
    <border>
      <left/>
      <right/>
      <top style="thin">
        <color rgb="FF00D0C3"/>
      </top>
      <bottom style="thin">
        <color rgb="FF00D0C3"/>
      </bottom>
      <diagonal/>
    </border>
    <border>
      <left style="thin">
        <color rgb="FFC5C7D4"/>
      </left>
      <right/>
      <top style="thin">
        <color rgb="FFC5C7D4"/>
      </top>
      <bottom style="medium">
        <color rgb="FF6C5CE7"/>
      </bottom>
      <diagonal/>
    </border>
    <border>
      <left/>
      <right/>
      <top style="thin">
        <color rgb="FFC5C7D4"/>
      </top>
      <bottom style="medium">
        <color rgb="FF6C5CE7"/>
      </bottom>
      <diagonal/>
    </border>
    <border>
      <left style="thin">
        <color rgb="FFC5C7D4"/>
      </left>
      <right/>
      <top style="thin">
        <color rgb="FFC5C7D4"/>
      </top>
      <bottom style="medium">
        <color rgb="FF0073EA"/>
      </bottom>
      <diagonal/>
    </border>
    <border>
      <left/>
      <right/>
      <top style="thin">
        <color rgb="FFC5C7D4"/>
      </top>
      <bottom style="medium">
        <color rgb="FF0073EA"/>
      </bottom>
      <diagonal/>
    </border>
    <border>
      <left style="thin">
        <color rgb="FFC5C7D4"/>
      </left>
      <right/>
      <top style="thin">
        <color rgb="FFC5C7D4"/>
      </top>
      <bottom style="medium">
        <color rgb="FF00D0C3"/>
      </bottom>
      <diagonal/>
    </border>
    <border>
      <left/>
      <right/>
      <top style="thin">
        <color rgb="FFC5C7D4"/>
      </top>
      <bottom style="medium">
        <color rgb="FF00D0C3"/>
      </bottom>
      <diagonal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C5C7D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vertical="bottom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1" fillId="4" borderId="0" xfId="0" applyFont="1" applyFill="1" applyAlignment="1">
      <alignment vertical="bottom"/>
    </xf>
    <xf numFmtId="0" fontId="4" fillId="5" borderId="0" xfId="0" applyFont="1" applyFill="1" applyAlignment="1">
      <alignment horizontal="left" vertical="center" readingOrder="1"/>
    </xf>
    <xf numFmtId="0" fontId="5" fillId="6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5" fillId="4" borderId="0" xfId="0" applyFont="1" applyFill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0" fillId="8" borderId="5" xfId="0" applyFont="1" applyFill="1" applyBorder="1" applyAlignment="1">
      <alignment horizontal="left" vertical="center" wrapText="1"/>
    </xf>
    <xf numFmtId="0" fontId="3" fillId="0" borderId="6" xfId="0" applyFont="1" applyBorder="1"/>
    <xf numFmtId="0" fontId="5" fillId="9" borderId="0" xfId="0" applyFont="1" applyFill="1" applyAlignment="1">
      <alignment horizontal="left" vertical="center"/>
    </xf>
    <xf numFmtId="0" fontId="11" fillId="10" borderId="7" xfId="0" applyFont="1" applyFill="1" applyBorder="1" applyAlignment="1">
      <alignment horizontal="left" vertical="center"/>
    </xf>
    <xf numFmtId="0" fontId="3" fillId="0" borderId="8" xfId="0" applyFont="1" applyBorder="1"/>
    <xf numFmtId="0" fontId="5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readingOrder="1"/>
    </xf>
    <xf numFmtId="0" fontId="13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14" borderId="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1" fontId="16" fillId="10" borderId="10" xfId="0" applyNumberFormat="1" applyFont="1" applyFill="1" applyBorder="1" applyAlignment="1">
      <alignment horizontal="center" vertical="center" wrapText="1"/>
    </xf>
    <xf numFmtId="164" fontId="17" fillId="14" borderId="9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64" fontId="18" fillId="10" borderId="10" xfId="0" applyNumberFormat="1" applyFont="1" applyFill="1" applyBorder="1" applyAlignment="1">
      <alignment horizontal="center" vertical="center" wrapText="1"/>
    </xf>
    <xf numFmtId="164" fontId="19" fillId="15" borderId="11" xfId="0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" fillId="6" borderId="12" xfId="0" applyFont="1" applyFill="1" applyBorder="1" applyAlignment="1">
      <alignment vertical="bottom"/>
    </xf>
    <xf numFmtId="0" fontId="1" fillId="7" borderId="13" xfId="0" applyFont="1" applyFill="1" applyBorder="1" applyAlignment="1">
      <alignment vertical="bottom"/>
    </xf>
    <xf numFmtId="0" fontId="1" fillId="9" borderId="14" xfId="0" applyFont="1" applyFill="1" applyBorder="1" applyAlignment="1">
      <alignment vertical="bottom"/>
    </xf>
    <xf numFmtId="0" fontId="1" fillId="4" borderId="3" xfId="0" applyFont="1" applyFill="1" applyBorder="1" applyAlignment="1">
      <alignment vertical="bottom"/>
    </xf>
    <xf numFmtId="0" fontId="1" fillId="11" borderId="15" xfId="0" applyFont="1" applyFill="1" applyBorder="1" applyAlignment="1">
      <alignment vertical="bottom"/>
    </xf>
    <xf numFmtId="0" fontId="1" fillId="12" borderId="16" xfId="0" applyFont="1" applyFill="1" applyBorder="1" applyAlignment="1">
      <alignment vertical="bottom"/>
    </xf>
    <xf numFmtId="0" fontId="21" fillId="5" borderId="4" xfId="0" applyFont="1" applyFill="1" applyBorder="1" applyAlignment="1">
      <alignment horizontal="left" vertical="center"/>
    </xf>
    <xf numFmtId="165" fontId="22" fillId="10" borderId="10" xfId="0" applyNumberFormat="1" applyFont="1" applyFill="1" applyBorder="1" applyAlignment="1">
      <alignment horizontal="left" vertical="center"/>
    </xf>
    <xf numFmtId="165" fontId="23" fillId="15" borderId="11" xfId="0" applyNumberFormat="1" applyFont="1" applyFill="1" applyBorder="1" applyAlignment="1">
      <alignment horizontal="left" vertical="center"/>
    </xf>
    <xf numFmtId="165" fontId="24" fillId="16" borderId="17" xfId="0" applyNumberFormat="1" applyFont="1" applyFill="1" applyBorder="1" applyAlignment="1">
      <alignment horizontal="left" vertical="center"/>
    </xf>
    <xf numFmtId="164" fontId="25" fillId="14" borderId="9" xfId="0" applyNumberFormat="1" applyFont="1" applyFill="1" applyBorder="1" applyAlignment="1">
      <alignment horizontal="left" vertical="center"/>
    </xf>
    <xf numFmtId="166" fontId="26" fillId="8" borderId="18" xfId="0" applyNumberFormat="1" applyFont="1" applyFill="1" applyBorder="1" applyAlignment="1">
      <alignment horizontal="left" vertical="center"/>
    </xf>
    <xf numFmtId="165" fontId="27" fillId="17" borderId="19" xfId="0" applyNumberFormat="1" applyFont="1" applyFill="1" applyBorder="1" applyAlignment="1">
      <alignment horizontal="left" vertical="center"/>
    </xf>
    <xf numFmtId="0" fontId="28" fillId="2" borderId="20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left" vertical="center"/>
    </xf>
    <xf numFmtId="165" fontId="6" fillId="18" borderId="4" xfId="0" applyNumberFormat="1" applyFont="1" applyFill="1" applyBorder="1" applyAlignment="1">
      <alignment horizontal="right" vertical="center"/>
    </xf>
    <xf numFmtId="165" fontId="8" fillId="18" borderId="4" xfId="0" applyNumberFormat="1" applyFont="1" applyFill="1" applyBorder="1" applyAlignment="1">
      <alignment horizontal="right" vertical="center"/>
    </xf>
    <xf numFmtId="164" fontId="6" fillId="18" borderId="4" xfId="0" applyNumberFormat="1" applyFont="1" applyFill="1" applyBorder="1" applyAlignment="1">
      <alignment horizontal="center" vertical="center" wrapText="1"/>
    </xf>
    <xf numFmtId="166" fontId="34" fillId="18" borderId="4" xfId="0" applyNumberFormat="1" applyFont="1" applyFill="1" applyBorder="1" applyAlignment="1">
      <alignment horizontal="center" vertical="center" wrapText="1"/>
    </xf>
    <xf numFmtId="165" fontId="6" fillId="5" borderId="4" xfId="0" applyNumberFormat="1" applyFont="1" applyFill="1" applyBorder="1" applyAlignment="1">
      <alignment horizontal="right" vertical="center"/>
    </xf>
    <xf numFmtId="165" fontId="8" fillId="5" borderId="4" xfId="0" applyNumberFormat="1" applyFont="1" applyFill="1" applyBorder="1" applyAlignment="1">
      <alignment horizontal="right" vertical="center"/>
    </xf>
    <xf numFmtId="164" fontId="6" fillId="5" borderId="4" xfId="0" applyNumberFormat="1" applyFont="1" applyFill="1" applyBorder="1" applyAlignment="1">
      <alignment horizontal="center" vertical="center" wrapText="1"/>
    </xf>
    <xf numFmtId="166" fontId="34" fillId="5" borderId="4" xfId="0" applyNumberFormat="1" applyFont="1" applyFill="1" applyBorder="1" applyAlignment="1">
      <alignment horizontal="center" vertical="center" wrapText="1"/>
    </xf>
    <xf numFmtId="0" fontId="35" fillId="3" borderId="21" xfId="0" applyFont="1" applyFill="1" applyBorder="1" applyAlignment="1">
      <alignment horizontal="left" vertical="center"/>
    </xf>
    <xf numFmtId="165" fontId="36" fillId="2" borderId="9" xfId="0" applyNumberFormat="1" applyFont="1" applyFill="1" applyBorder="1" applyAlignment="1">
      <alignment horizontal="right" vertical="center"/>
    </xf>
    <xf numFmtId="164" fontId="36" fillId="2" borderId="9" xfId="0" applyNumberFormat="1" applyFont="1" applyFill="1" applyBorder="1" applyAlignment="1">
      <alignment horizontal="center" vertical="center" wrapText="1"/>
    </xf>
    <xf numFmtId="166" fontId="37" fillId="2" borderId="9" xfId="0" applyNumberFormat="1" applyFont="1" applyFill="1" applyBorder="1" applyAlignment="1">
      <alignment horizontal="center" vertical="center" wrapText="1"/>
    </xf>
    <xf numFmtId="0" fontId="32" fillId="14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29" fillId="10" borderId="7" xfId="0" applyFont="1" applyFill="1" applyBorder="1" applyAlignment="1">
      <alignment horizontal="center" vertical="center" wrapText="1"/>
    </xf>
    <xf numFmtId="0" fontId="30" fillId="15" borderId="2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4" fillId="19" borderId="0" xfId="0" applyFont="1" applyFill="1" applyAlignment="1">
      <alignment horizontal="center" vertical="center" wrapText="1"/>
    </xf>
    <xf numFmtId="164" fontId="15" fillId="14" borderId="26" xfId="0" applyNumberFormat="1" applyFont="1" applyFill="1" applyBorder="1" applyAlignment="1">
      <alignment horizontal="center" vertical="center" wrapText="1"/>
    </xf>
    <xf numFmtId="0" fontId="3" fillId="0" borderId="27" xfId="0" applyFont="1" applyBorder="1"/>
    <xf numFmtId="164" fontId="16" fillId="10" borderId="28" xfId="0" applyNumberFormat="1" applyFont="1" applyFill="1" applyBorder="1" applyAlignment="1">
      <alignment horizontal="center" vertical="center" wrapText="1"/>
    </xf>
    <xf numFmtId="0" fontId="3" fillId="0" borderId="29" xfId="0" applyFont="1" applyBorder="1"/>
    <xf numFmtId="164" fontId="38" fillId="15" borderId="30" xfId="0" applyNumberFormat="1" applyFont="1" applyFill="1" applyBorder="1" applyAlignment="1">
      <alignment horizontal="center" vertical="center" wrapText="1"/>
    </xf>
    <xf numFmtId="0" fontId="3" fillId="0" borderId="31" xfId="0" applyFont="1" applyBorder="1"/>
    <xf numFmtId="0" fontId="1" fillId="20" borderId="0" xfId="0" applyFont="1" applyFill="1" applyAlignment="1">
      <alignment vertical="bottom"/>
    </xf>
    <xf numFmtId="0" fontId="28" fillId="2" borderId="32" xfId="0" applyFont="1" applyFill="1" applyBorder="1" applyAlignment="1">
      <alignment horizontal="center" vertical="center" wrapText="1"/>
    </xf>
    <xf numFmtId="0" fontId="29" fillId="10" borderId="10" xfId="0" applyFont="1" applyFill="1" applyBorder="1" applyAlignment="1">
      <alignment horizontal="center" vertical="center" wrapText="1"/>
    </xf>
    <xf numFmtId="0" fontId="28" fillId="18" borderId="32" xfId="0" applyFont="1" applyFill="1" applyBorder="1" applyAlignment="1">
      <alignment horizontal="center" vertical="center" wrapText="1"/>
    </xf>
    <xf numFmtId="0" fontId="21" fillId="18" borderId="32" xfId="0" applyFont="1" applyFill="1" applyBorder="1" applyAlignment="1">
      <alignment horizontal="center" vertical="center" wrapText="1"/>
    </xf>
    <xf numFmtId="0" fontId="33" fillId="8" borderId="18" xfId="0" applyFont="1" applyFill="1" applyBorder="1" applyAlignment="1">
      <alignment horizontal="center" vertical="center" wrapText="1"/>
    </xf>
    <xf numFmtId="0" fontId="32" fillId="14" borderId="9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167" fontId="9" fillId="2" borderId="4" xfId="0" applyNumberFormat="1" applyFont="1" applyFill="1" applyBorder="1" applyAlignment="1">
      <alignment horizontal="center" vertical="center" wrapText="1"/>
    </xf>
    <xf numFmtId="165" fontId="39" fillId="21" borderId="12" xfId="0" applyNumberFormat="1" applyFont="1" applyFill="1" applyBorder="1" applyAlignment="1">
      <alignment horizontal="right" vertical="center" readingOrder="1"/>
    </xf>
    <xf numFmtId="165" fontId="39" fillId="21" borderId="12" xfId="0" applyNumberFormat="1" applyFont="1" applyFill="1" applyBorder="1" applyAlignment="1">
      <alignment horizontal="right" vertical="center"/>
    </xf>
    <xf numFmtId="165" fontId="9" fillId="18" borderId="4" xfId="0" applyNumberFormat="1" applyFont="1" applyFill="1" applyBorder="1" applyAlignment="1">
      <alignment horizontal="right" vertical="center"/>
    </xf>
    <xf numFmtId="165" fontId="40" fillId="8" borderId="15" xfId="0" applyNumberFormat="1" applyFont="1" applyFill="1" applyBorder="1" applyAlignment="1">
      <alignment horizontal="right" vertical="center"/>
    </xf>
    <xf numFmtId="164" fontId="8" fillId="18" borderId="4" xfId="0" applyNumberFormat="1" applyFont="1" applyFill="1" applyBorder="1" applyAlignment="1">
      <alignment horizontal="center" vertical="center" wrapText="1"/>
    </xf>
    <xf numFmtId="164" fontId="9" fillId="18" borderId="4" xfId="0" applyNumberFormat="1" applyFont="1" applyFill="1" applyBorder="1" applyAlignment="1">
      <alignment horizontal="center" vertical="center" wrapText="1"/>
    </xf>
    <xf numFmtId="166" fontId="41" fillId="14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/>
    </xf>
    <xf numFmtId="0" fontId="35" fillId="3" borderId="21" xfId="0" applyFont="1" applyFill="1" applyBorder="1" applyAlignment="1">
      <alignment horizontal="center" vertical="center" wrapText="1"/>
    </xf>
    <xf numFmtId="165" fontId="42" fillId="2" borderId="9" xfId="0" applyNumberFormat="1" applyFont="1" applyFill="1" applyBorder="1" applyAlignment="1">
      <alignment horizontal="right" vertical="center"/>
    </xf>
    <xf numFmtId="164" fontId="43" fillId="2" borderId="9" xfId="0" applyNumberFormat="1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left" vertical="center"/>
    </xf>
  </cellXfs>
  <cellStyles count="1">
    <cellStyle name="Normal" xfId="0" builtinId="0"/>
  </cellStyles>
  <dxfs count="208">
    <dxf>
      <font>
        <b/>
        <color rgb="FFE2445C"/>
        <sz val="16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6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0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0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0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  <dxf>
      <font>
        <b/>
        <color rgb="FFE2445C"/>
        <sz val="11"/>
        <name val="Calibri"/>
      </font>
      <fill>
        <patternFill patternType="solid">
          <fgColor rgb="FFFDEDF0"/>
          <bgColor rgb="FFFDEDF0"/>
        </patternFill>
      </fill>
      <border>
        <left/>
        <right/>
        <top/>
        <bottom/>
        <diagonal/>
      </border>
    </dxf>
    <dxf>
      <font>
        <b/>
        <color rgb="FFFDAB3D"/>
        <sz val="11"/>
        <name val="Calibri"/>
      </font>
      <fill>
        <patternFill patternType="solid">
          <fgColor rgb="FFFFF3E0"/>
          <bgColor rgb="FFFFF3E0"/>
        </patternFill>
      </fill>
      <border>
        <left/>
        <right/>
        <top/>
        <bottom/>
        <diagonal/>
      </border>
    </dxf>
    <dxf>
      <font>
        <b/>
        <color rgb="FF00C875"/>
        <sz val="11"/>
        <name val="Calibri"/>
      </font>
      <fill>
        <patternFill patternType="solid">
          <fgColor rgb="FFD7F3E8"/>
          <bgColor rgb="FFD7F3E8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.29" customWidth="1"/>
    <col min="2" max="2" width="14.86" customWidth="1"/>
    <col min="3" max="3" width="32" customWidth="1"/>
    <col min="4" max="4" width="191.57" customWidth="1"/>
    <col min="5" max="5" width="3" customWidth="1"/>
    <col min="6" max="26" width="8.71" customWidth="1"/>
  </cols>
  <sheetData>
    <row r="1" ht="19.5" customHeight="1" spans="1:5" x14ac:dyDescent="0.25">
      <c r="A1" s="1"/>
      <c r="B1" s="1"/>
      <c r="C1" s="1"/>
      <c r="D1" s="1"/>
      <c r="E1" s="1"/>
    </row>
    <row r="2" ht="55.5" customHeight="1" spans="1:5" x14ac:dyDescent="0.25">
      <c r="A2" s="1"/>
      <c r="B2" s="2" t="s">
        <v>0</v>
      </c>
      <c r="C2" s="3"/>
      <c r="D2" s="3"/>
      <c r="E2" s="1"/>
    </row>
    <row r="3" ht="4.5" customHeight="1" spans="1:5" x14ac:dyDescent="0.25">
      <c r="A3" s="1"/>
      <c r="B3" s="4"/>
      <c r="C3" s="4"/>
      <c r="D3" s="4"/>
      <c r="E3" s="1"/>
    </row>
    <row r="4" ht="21.75" customHeight="1" spans="1:5" x14ac:dyDescent="0.25">
      <c r="A4" s="1"/>
      <c r="B4" s="5" t="s">
        <v>1</v>
      </c>
      <c r="C4" s="3"/>
      <c r="D4" s="3"/>
      <c r="E4" s="1"/>
    </row>
    <row r="5" ht="19.5" customHeight="1" spans="1:5" x14ac:dyDescent="0.25">
      <c r="A5" s="1"/>
      <c r="B5" s="1"/>
      <c r="C5" s="1"/>
      <c r="D5" s="1"/>
      <c r="E5" s="1"/>
    </row>
    <row r="6" ht="9.75" customHeight="1" spans="1:5" x14ac:dyDescent="0.25">
      <c r="A6" s="1"/>
      <c r="B6" s="1"/>
      <c r="C6" s="1"/>
      <c r="D6" s="1"/>
      <c r="E6" s="1"/>
    </row>
    <row r="7" ht="27.75" customHeight="1" spans="1:5" x14ac:dyDescent="0.25">
      <c r="A7" s="1"/>
      <c r="B7" s="6" t="s">
        <v>2</v>
      </c>
      <c r="C7" s="3"/>
      <c r="D7" s="3"/>
      <c r="E7" s="1"/>
    </row>
    <row r="8" ht="36" customHeight="1" spans="1:5" x14ac:dyDescent="0.25">
      <c r="A8" s="1"/>
      <c r="B8" s="7" t="s">
        <v>3</v>
      </c>
      <c r="C8" s="8"/>
      <c r="D8" s="8"/>
      <c r="E8" s="1"/>
    </row>
    <row r="9" ht="9.75" customHeight="1" spans="1:5" x14ac:dyDescent="0.25">
      <c r="A9" s="1"/>
      <c r="B9" s="1"/>
      <c r="C9" s="1"/>
      <c r="D9" s="1"/>
      <c r="E9" s="1"/>
    </row>
    <row r="10" ht="27.75" customHeight="1" spans="1:5" x14ac:dyDescent="0.25">
      <c r="A10" s="1"/>
      <c r="B10" s="9" t="s">
        <v>4</v>
      </c>
      <c r="C10" s="3"/>
      <c r="D10" s="3"/>
      <c r="E10" s="1"/>
    </row>
    <row r="11" ht="19.5" customHeight="1" spans="1:5" x14ac:dyDescent="0.25">
      <c r="A11" s="1"/>
      <c r="B11" s="10" t="s">
        <v>5</v>
      </c>
      <c r="C11" s="11" t="s">
        <v>6</v>
      </c>
      <c r="D11" s="12" t="s">
        <v>7</v>
      </c>
      <c r="E11" s="1"/>
    </row>
    <row r="12" ht="19.5" customHeight="1" spans="1:5" x14ac:dyDescent="0.25">
      <c r="A12" s="1"/>
      <c r="B12" s="10" t="s">
        <v>8</v>
      </c>
      <c r="C12" s="11" t="s">
        <v>9</v>
      </c>
      <c r="D12" s="12" t="s">
        <v>10</v>
      </c>
      <c r="E12" s="1"/>
    </row>
    <row r="13" ht="19.5" customHeight="1" spans="1:5" x14ac:dyDescent="0.25">
      <c r="A13" s="1"/>
      <c r="B13" s="10" t="s">
        <v>11</v>
      </c>
      <c r="C13" s="11" t="s">
        <v>12</v>
      </c>
      <c r="D13" s="12" t="s">
        <v>13</v>
      </c>
      <c r="E13" s="1"/>
    </row>
    <row r="14" ht="19.5" customHeight="1" spans="1:5" x14ac:dyDescent="0.25">
      <c r="A14" s="1"/>
      <c r="B14" s="10" t="s">
        <v>14</v>
      </c>
      <c r="C14" s="11" t="s">
        <v>15</v>
      </c>
      <c r="D14" s="12" t="s">
        <v>16</v>
      </c>
      <c r="E14" s="1"/>
    </row>
    <row r="15" ht="19.5" customHeight="1" spans="1:5" x14ac:dyDescent="0.25">
      <c r="A15" s="1"/>
      <c r="B15" s="1"/>
      <c r="C15" s="1"/>
      <c r="D15" s="1"/>
      <c r="E15" s="1"/>
    </row>
    <row r="16" ht="9.75" customHeight="1" spans="1:5" x14ac:dyDescent="0.25">
      <c r="A16" s="1"/>
      <c r="B16" s="1"/>
      <c r="C16" s="1"/>
      <c r="D16" s="1"/>
      <c r="E16" s="1"/>
    </row>
    <row r="17" ht="27.75" customHeight="1" spans="1:5" x14ac:dyDescent="0.25">
      <c r="A17" s="1"/>
      <c r="B17" s="13" t="s">
        <v>17</v>
      </c>
      <c r="C17" s="3"/>
      <c r="D17" s="3"/>
      <c r="E17" s="1"/>
    </row>
    <row r="18" ht="19.5" customHeight="1" spans="1:5" x14ac:dyDescent="0.25">
      <c r="A18" s="1"/>
      <c r="B18" s="10" t="s">
        <v>18</v>
      </c>
      <c r="C18" s="11" t="s">
        <v>19</v>
      </c>
      <c r="D18" s="12" t="s">
        <v>20</v>
      </c>
      <c r="E18" s="1"/>
    </row>
    <row r="19" ht="19.5" customHeight="1" spans="1:5" x14ac:dyDescent="0.25">
      <c r="A19" s="1"/>
      <c r="B19" s="10" t="s">
        <v>21</v>
      </c>
      <c r="C19" s="11" t="s">
        <v>22</v>
      </c>
      <c r="D19" s="12" t="s">
        <v>23</v>
      </c>
      <c r="E19" s="1"/>
    </row>
    <row r="20" ht="19.5" customHeight="1" spans="1:5" x14ac:dyDescent="0.25">
      <c r="A20" s="1"/>
      <c r="B20" s="10" t="s">
        <v>24</v>
      </c>
      <c r="C20" s="11" t="s">
        <v>25</v>
      </c>
      <c r="D20" s="12" t="s">
        <v>26</v>
      </c>
      <c r="E20" s="1"/>
    </row>
    <row r="21" ht="19.5" customHeight="1" spans="1:5" x14ac:dyDescent="0.25">
      <c r="A21" s="1"/>
      <c r="B21" s="10" t="s">
        <v>27</v>
      </c>
      <c r="C21" s="11" t="s">
        <v>28</v>
      </c>
      <c r="D21" s="12" t="s">
        <v>29</v>
      </c>
      <c r="E21" s="1"/>
    </row>
    <row r="22" ht="19.5" customHeight="1" spans="1:5" x14ac:dyDescent="0.25">
      <c r="A22" s="1"/>
      <c r="B22" s="10" t="s">
        <v>30</v>
      </c>
      <c r="C22" s="11" t="s">
        <v>31</v>
      </c>
      <c r="D22" s="12" t="s">
        <v>32</v>
      </c>
      <c r="E22" s="1"/>
    </row>
    <row r="23" ht="18" customHeight="1" spans="1:5" x14ac:dyDescent="0.25">
      <c r="A23" s="1"/>
      <c r="B23" s="14" t="s">
        <v>33</v>
      </c>
      <c r="C23" s="15"/>
      <c r="D23" s="15"/>
      <c r="E23" s="1"/>
    </row>
    <row r="24" ht="19.5" customHeight="1" spans="1:5" x14ac:dyDescent="0.25">
      <c r="A24" s="1"/>
      <c r="B24" s="1"/>
      <c r="C24" s="1"/>
      <c r="D24" s="1"/>
      <c r="E24" s="1"/>
    </row>
    <row r="25" ht="9.75" customHeight="1" spans="1:5" x14ac:dyDescent="0.25">
      <c r="A25" s="1"/>
      <c r="B25" s="1"/>
      <c r="C25" s="1"/>
      <c r="D25" s="1"/>
      <c r="E25" s="1"/>
    </row>
    <row r="26" ht="27.75" customHeight="1" spans="1:5" x14ac:dyDescent="0.25">
      <c r="A26" s="1"/>
      <c r="B26" s="16" t="s">
        <v>34</v>
      </c>
      <c r="C26" s="3"/>
      <c r="D26" s="3"/>
      <c r="E26" s="1"/>
    </row>
    <row r="27" ht="21.75" customHeight="1" spans="1:5" x14ac:dyDescent="0.25">
      <c r="A27" s="1"/>
      <c r="B27" s="17" t="s">
        <v>35</v>
      </c>
      <c r="C27" s="18"/>
      <c r="D27" s="18"/>
      <c r="E27" s="1"/>
    </row>
    <row r="28" ht="19.5" customHeight="1" spans="1:5" x14ac:dyDescent="0.25">
      <c r="A28" s="1"/>
      <c r="B28" s="10" t="s">
        <v>36</v>
      </c>
      <c r="C28" s="11" t="s">
        <v>37</v>
      </c>
      <c r="D28" s="12" t="s">
        <v>38</v>
      </c>
      <c r="E28" s="1"/>
    </row>
    <row r="29" ht="19.5" customHeight="1" spans="1:5" x14ac:dyDescent="0.25">
      <c r="A29" s="1"/>
      <c r="B29" s="10" t="s">
        <v>39</v>
      </c>
      <c r="C29" s="11" t="s">
        <v>40</v>
      </c>
      <c r="D29" s="12" t="s">
        <v>41</v>
      </c>
      <c r="E29" s="1"/>
    </row>
    <row r="30" ht="19.5" customHeight="1" spans="1:5" x14ac:dyDescent="0.25">
      <c r="A30" s="1"/>
      <c r="B30" s="10" t="s">
        <v>42</v>
      </c>
      <c r="C30" s="11" t="s">
        <v>43</v>
      </c>
      <c r="D30" s="12" t="s">
        <v>44</v>
      </c>
      <c r="E30" s="1"/>
    </row>
    <row r="31" ht="19.5" customHeight="1" spans="1:5" x14ac:dyDescent="0.25">
      <c r="A31" s="1"/>
      <c r="B31" s="10" t="s">
        <v>45</v>
      </c>
      <c r="C31" s="11" t="s">
        <v>46</v>
      </c>
      <c r="D31" s="12" t="s">
        <v>47</v>
      </c>
      <c r="E31" s="1"/>
    </row>
    <row r="32" ht="19.5" customHeight="1" spans="1:5" x14ac:dyDescent="0.25">
      <c r="A32" s="1"/>
      <c r="B32" s="10" t="s">
        <v>48</v>
      </c>
      <c r="C32" s="11" t="s">
        <v>49</v>
      </c>
      <c r="D32" s="12" t="s">
        <v>50</v>
      </c>
      <c r="E32" s="1"/>
    </row>
    <row r="33" ht="19.5" customHeight="1" spans="1:5" x14ac:dyDescent="0.25">
      <c r="A33" s="1"/>
      <c r="B33" s="10" t="s">
        <v>51</v>
      </c>
      <c r="C33" s="11" t="s">
        <v>52</v>
      </c>
      <c r="D33" s="12" t="s">
        <v>53</v>
      </c>
      <c r="E33" s="1"/>
    </row>
    <row r="34" ht="19.5" customHeight="1" spans="1:5" x14ac:dyDescent="0.25">
      <c r="A34" s="1"/>
      <c r="B34" s="10" t="s">
        <v>54</v>
      </c>
      <c r="C34" s="11" t="s">
        <v>55</v>
      </c>
      <c r="D34" s="12" t="s">
        <v>56</v>
      </c>
      <c r="E34" s="1"/>
    </row>
    <row r="35" ht="19.5" customHeight="1" spans="1:5" x14ac:dyDescent="0.25">
      <c r="A35" s="1"/>
      <c r="B35" s="10" t="s">
        <v>57</v>
      </c>
      <c r="C35" s="11" t="s">
        <v>58</v>
      </c>
      <c r="D35" s="12" t="s">
        <v>59</v>
      </c>
      <c r="E35" s="1"/>
    </row>
    <row r="36" ht="19.5" customHeight="1" spans="1:5" x14ac:dyDescent="0.25">
      <c r="A36" s="1"/>
      <c r="B36" s="10" t="s">
        <v>60</v>
      </c>
      <c r="C36" s="11" t="s">
        <v>61</v>
      </c>
      <c r="D36" s="12" t="s">
        <v>62</v>
      </c>
      <c r="E36" s="1"/>
    </row>
    <row r="37" ht="19.5" customHeight="1" spans="1:5" x14ac:dyDescent="0.25">
      <c r="A37" s="1"/>
      <c r="B37" s="10" t="s">
        <v>63</v>
      </c>
      <c r="C37" s="11" t="s">
        <v>64</v>
      </c>
      <c r="D37" s="12" t="s">
        <v>65</v>
      </c>
      <c r="E37" s="1"/>
    </row>
    <row r="38" ht="19.5" customHeight="1" spans="1:5" x14ac:dyDescent="0.25">
      <c r="A38" s="1"/>
      <c r="B38" s="10" t="s">
        <v>66</v>
      </c>
      <c r="C38" s="11" t="s">
        <v>67</v>
      </c>
      <c r="D38" s="12" t="s">
        <v>68</v>
      </c>
      <c r="E38" s="1"/>
    </row>
    <row r="39" ht="19.5" customHeight="1" spans="1:5" x14ac:dyDescent="0.25">
      <c r="A39" s="1"/>
      <c r="B39" s="10" t="s">
        <v>69</v>
      </c>
      <c r="C39" s="11" t="s">
        <v>70</v>
      </c>
      <c r="D39" s="12" t="s">
        <v>71</v>
      </c>
      <c r="E39" s="1"/>
    </row>
    <row r="40" ht="19.5" customHeight="1" spans="1:5" x14ac:dyDescent="0.25">
      <c r="A40" s="1"/>
      <c r="B40" s="10" t="s">
        <v>72</v>
      </c>
      <c r="C40" s="11" t="s">
        <v>73</v>
      </c>
      <c r="D40" s="12" t="s">
        <v>74</v>
      </c>
      <c r="E40" s="1"/>
    </row>
    <row r="41" ht="19.5" customHeight="1" spans="1:5" x14ac:dyDescent="0.25">
      <c r="A41" s="1"/>
      <c r="B41" s="10" t="s">
        <v>75</v>
      </c>
      <c r="C41" s="11" t="s">
        <v>76</v>
      </c>
      <c r="D41" s="12" t="s">
        <v>77</v>
      </c>
      <c r="E41" s="1"/>
    </row>
    <row r="42" ht="19.5" customHeight="1" spans="1:5" x14ac:dyDescent="0.25">
      <c r="A42" s="1"/>
      <c r="B42" s="10" t="s">
        <v>78</v>
      </c>
      <c r="C42" s="11" t="s">
        <v>79</v>
      </c>
      <c r="D42" s="12" t="s">
        <v>80</v>
      </c>
      <c r="E42" s="1"/>
    </row>
    <row r="43" ht="19.5" customHeight="1" spans="1:5" x14ac:dyDescent="0.25">
      <c r="A43" s="1"/>
      <c r="B43" s="10" t="s">
        <v>81</v>
      </c>
      <c r="C43" s="11" t="s">
        <v>82</v>
      </c>
      <c r="D43" s="12" t="s">
        <v>83</v>
      </c>
      <c r="E43" s="1"/>
    </row>
    <row r="44" ht="19.5" customHeight="1" spans="1:5" x14ac:dyDescent="0.25">
      <c r="A44" s="1"/>
      <c r="B44" s="10" t="s">
        <v>84</v>
      </c>
      <c r="C44" s="11" t="s">
        <v>85</v>
      </c>
      <c r="D44" s="12" t="s">
        <v>86</v>
      </c>
      <c r="E44" s="1"/>
    </row>
    <row r="45" ht="19.5" customHeight="1" spans="1:5" x14ac:dyDescent="0.25">
      <c r="A45" s="1"/>
      <c r="B45" s="1"/>
      <c r="C45" s="1"/>
      <c r="D45" s="1"/>
      <c r="E45" s="1"/>
    </row>
    <row r="46" ht="9.75" customHeight="1" spans="1:5" x14ac:dyDescent="0.25">
      <c r="A46" s="1"/>
      <c r="B46" s="1"/>
      <c r="C46" s="1"/>
      <c r="D46" s="1"/>
      <c r="E46" s="1"/>
    </row>
    <row r="47" ht="27.75" customHeight="1" spans="1:5" x14ac:dyDescent="0.25">
      <c r="A47" s="1"/>
      <c r="B47" s="19" t="s">
        <v>87</v>
      </c>
      <c r="C47" s="3"/>
      <c r="D47" s="3"/>
      <c r="E47" s="1"/>
    </row>
    <row r="48" ht="19.5" customHeight="1" spans="1:5" x14ac:dyDescent="0.25">
      <c r="A48" s="1"/>
      <c r="B48" s="10" t="s">
        <v>88</v>
      </c>
      <c r="C48" s="11" t="s">
        <v>89</v>
      </c>
      <c r="D48" s="12" t="s">
        <v>90</v>
      </c>
      <c r="E48" s="1"/>
    </row>
    <row r="49" ht="19.5" customHeight="1" spans="1:5" x14ac:dyDescent="0.25">
      <c r="A49" s="1"/>
      <c r="B49" s="10" t="s">
        <v>91</v>
      </c>
      <c r="C49" s="11" t="s">
        <v>92</v>
      </c>
      <c r="D49" s="12" t="s">
        <v>93</v>
      </c>
      <c r="E49" s="1"/>
    </row>
    <row r="50" ht="18" customHeight="1" spans="1:5" x14ac:dyDescent="0.25">
      <c r="A50" s="1"/>
      <c r="B50" s="14" t="s">
        <v>94</v>
      </c>
      <c r="C50" s="15"/>
      <c r="D50" s="15"/>
      <c r="E50" s="1"/>
    </row>
    <row r="51" ht="19.5" customHeight="1" spans="1:5" x14ac:dyDescent="0.25">
      <c r="A51" s="1"/>
      <c r="B51" s="1"/>
      <c r="C51" s="1"/>
      <c r="D51" s="1"/>
      <c r="E51" s="1"/>
    </row>
    <row r="52" ht="9.75" customHeight="1" spans="1:5" x14ac:dyDescent="0.25">
      <c r="A52" s="1"/>
      <c r="B52" s="1"/>
      <c r="C52" s="1"/>
      <c r="D52" s="1"/>
      <c r="E52" s="1"/>
    </row>
    <row r="53" ht="27.75" customHeight="1" spans="1:5" x14ac:dyDescent="0.25">
      <c r="A53" s="1"/>
      <c r="B53" s="9" t="s">
        <v>95</v>
      </c>
      <c r="C53" s="3"/>
      <c r="D53" s="3"/>
      <c r="E53" s="1"/>
    </row>
    <row r="54" ht="19.5" customHeight="1" spans="1:5" x14ac:dyDescent="0.25">
      <c r="A54" s="1"/>
      <c r="B54" s="10" t="s">
        <v>96</v>
      </c>
      <c r="C54" s="11" t="s">
        <v>97</v>
      </c>
      <c r="D54" s="12" t="s">
        <v>98</v>
      </c>
      <c r="E54" s="1"/>
    </row>
    <row r="55" ht="19.5" customHeight="1" spans="1:5" x14ac:dyDescent="0.25">
      <c r="A55" s="1"/>
      <c r="B55" s="10" t="s">
        <v>96</v>
      </c>
      <c r="C55" s="11" t="s">
        <v>99</v>
      </c>
      <c r="D55" s="12" t="s">
        <v>100</v>
      </c>
      <c r="E55" s="1"/>
    </row>
    <row r="56" ht="19.5" customHeight="1" spans="1:5" x14ac:dyDescent="0.25">
      <c r="A56" s="1"/>
      <c r="B56" s="10" t="s">
        <v>96</v>
      </c>
      <c r="C56" s="11" t="s">
        <v>101</v>
      </c>
      <c r="D56" s="12" t="s">
        <v>102</v>
      </c>
      <c r="E56" s="1"/>
    </row>
    <row r="57" ht="19.5" customHeight="1" spans="1:5" x14ac:dyDescent="0.25">
      <c r="A57" s="1"/>
      <c r="B57" s="10" t="s">
        <v>96</v>
      </c>
      <c r="C57" s="11" t="s">
        <v>103</v>
      </c>
      <c r="D57" s="12" t="s">
        <v>104</v>
      </c>
      <c r="E57" s="1"/>
    </row>
    <row r="58" ht="19.5" customHeight="1" spans="1:5" x14ac:dyDescent="0.25">
      <c r="A58" s="1"/>
      <c r="B58" s="10" t="s">
        <v>96</v>
      </c>
      <c r="C58" s="11" t="s">
        <v>105</v>
      </c>
      <c r="D58" s="12" t="s">
        <v>106</v>
      </c>
      <c r="E58" s="1"/>
    </row>
    <row r="59" ht="19.5" customHeight="1" spans="1:5" x14ac:dyDescent="0.25">
      <c r="A59" s="1"/>
      <c r="B59" s="10" t="s">
        <v>96</v>
      </c>
      <c r="C59" s="11" t="s">
        <v>107</v>
      </c>
      <c r="D59" s="12" t="s">
        <v>108</v>
      </c>
      <c r="E59" s="1"/>
    </row>
    <row r="60" ht="19.5" customHeight="1" spans="1:5" x14ac:dyDescent="0.25">
      <c r="A60" s="1"/>
      <c r="B60" s="10" t="s">
        <v>96</v>
      </c>
      <c r="C60" s="11" t="s">
        <v>109</v>
      </c>
      <c r="D60" s="12" t="s">
        <v>110</v>
      </c>
      <c r="E60" s="1"/>
    </row>
    <row r="61" ht="19.5" customHeight="1" spans="1:5" x14ac:dyDescent="0.25">
      <c r="A61" s="1"/>
      <c r="B61" s="1"/>
      <c r="C61" s="1"/>
      <c r="D61" s="1"/>
      <c r="E61" s="1"/>
    </row>
    <row r="62" ht="9.75" customHeight="1" spans="1:5" x14ac:dyDescent="0.25">
      <c r="A62" s="1"/>
      <c r="B62" s="1"/>
      <c r="C62" s="1"/>
      <c r="D62" s="1"/>
      <c r="E62" s="1"/>
    </row>
    <row r="63" ht="27.75" customHeight="1" spans="1:5" x14ac:dyDescent="0.25">
      <c r="A63" s="1"/>
      <c r="B63" s="6" t="s">
        <v>111</v>
      </c>
      <c r="C63" s="3"/>
      <c r="D63" s="3"/>
      <c r="E63" s="1"/>
    </row>
    <row r="64" ht="19.5" customHeight="1" spans="1:5" x14ac:dyDescent="0.25">
      <c r="A64" s="1"/>
      <c r="B64" s="10" t="s">
        <v>112</v>
      </c>
      <c r="C64" s="11" t="s">
        <v>113</v>
      </c>
      <c r="D64" s="12" t="s">
        <v>114</v>
      </c>
      <c r="E64" s="1"/>
    </row>
    <row r="65" ht="19.5" customHeight="1" spans="1:5" x14ac:dyDescent="0.25">
      <c r="A65" s="1"/>
      <c r="B65" s="10" t="s">
        <v>112</v>
      </c>
      <c r="C65" s="11" t="s">
        <v>115</v>
      </c>
      <c r="D65" s="12" t="s">
        <v>116</v>
      </c>
      <c r="E65" s="1"/>
    </row>
    <row r="66" ht="19.5" customHeight="1" spans="1:5" x14ac:dyDescent="0.25">
      <c r="A66" s="1"/>
      <c r="B66" s="10" t="s">
        <v>117</v>
      </c>
      <c r="C66" s="11" t="s">
        <v>118</v>
      </c>
      <c r="D66" s="12" t="s">
        <v>119</v>
      </c>
      <c r="E66" s="1"/>
    </row>
    <row r="67" ht="19.5" customHeight="1" spans="1:5" x14ac:dyDescent="0.25">
      <c r="A67" s="1"/>
      <c r="B67" s="1"/>
      <c r="C67" s="1"/>
      <c r="D67" s="1"/>
      <c r="E67" s="1"/>
    </row>
    <row r="68" ht="9.75" customHeight="1" spans="1:5" x14ac:dyDescent="0.25">
      <c r="A68" s="1"/>
      <c r="B68" s="1"/>
      <c r="C68" s="1"/>
      <c r="D68" s="1"/>
      <c r="E68" s="1"/>
    </row>
    <row r="69" ht="27.75" customHeight="1" spans="1:5" x14ac:dyDescent="0.25">
      <c r="A69" s="1"/>
      <c r="B69" s="13" t="s">
        <v>120</v>
      </c>
      <c r="C69" s="3"/>
      <c r="D69" s="3"/>
      <c r="E69" s="1"/>
    </row>
    <row r="70" ht="33" customHeight="1" spans="1:5" x14ac:dyDescent="0.25">
      <c r="A70" s="1"/>
      <c r="B70" s="10" t="s">
        <v>18</v>
      </c>
      <c r="C70" s="11" t="s">
        <v>121</v>
      </c>
      <c r="D70" s="12" t="s">
        <v>122</v>
      </c>
      <c r="E70" s="1"/>
    </row>
    <row r="71" ht="19.5" customHeight="1" spans="1:5" x14ac:dyDescent="0.25">
      <c r="A71" s="1"/>
      <c r="B71" s="10" t="s">
        <v>21</v>
      </c>
      <c r="C71" s="11" t="s">
        <v>123</v>
      </c>
      <c r="D71" s="12" t="s">
        <v>124</v>
      </c>
      <c r="E71" s="1"/>
    </row>
    <row r="72" ht="19.5" customHeight="1" spans="1:5" x14ac:dyDescent="0.25">
      <c r="A72" s="1"/>
      <c r="B72" s="10" t="s">
        <v>24</v>
      </c>
      <c r="C72" s="11" t="s">
        <v>125</v>
      </c>
      <c r="D72" s="12" t="s">
        <v>126</v>
      </c>
      <c r="E72" s="1"/>
    </row>
    <row r="73" ht="19.5" customHeight="1" spans="1:5" x14ac:dyDescent="0.25">
      <c r="A73" s="1"/>
      <c r="B73" s="10" t="s">
        <v>27</v>
      </c>
      <c r="C73" s="11" t="s">
        <v>127</v>
      </c>
      <c r="D73" s="12" t="s">
        <v>128</v>
      </c>
      <c r="E73" s="1"/>
    </row>
    <row r="74" ht="18" customHeight="1" spans="1:5" x14ac:dyDescent="0.25">
      <c r="A74" s="1"/>
      <c r="B74" s="14" t="s">
        <v>129</v>
      </c>
      <c r="C74" s="15"/>
      <c r="D74" s="15"/>
      <c r="E74" s="1"/>
    </row>
    <row r="75" ht="19.5" customHeight="1" spans="1:5" x14ac:dyDescent="0.25">
      <c r="A75" s="1"/>
      <c r="B75" s="1"/>
      <c r="C75" s="1"/>
      <c r="D75" s="1"/>
      <c r="E75" s="1"/>
    </row>
    <row r="76" ht="9.75" customHeight="1" spans="1:5" x14ac:dyDescent="0.25">
      <c r="A76" s="1"/>
      <c r="B76" s="1"/>
      <c r="C76" s="1"/>
      <c r="D76" s="1"/>
      <c r="E76" s="1"/>
    </row>
    <row r="77" ht="27.75" customHeight="1" spans="1:5" x14ac:dyDescent="0.25">
      <c r="A77" s="1"/>
      <c r="B77" s="20" t="s">
        <v>130</v>
      </c>
      <c r="C77" s="3"/>
      <c r="D77" s="3"/>
      <c r="E77" s="1"/>
    </row>
    <row r="78" ht="19.5" customHeight="1" spans="1:5" x14ac:dyDescent="0.25">
      <c r="A78" s="1"/>
      <c r="B78" s="10" t="s">
        <v>131</v>
      </c>
      <c r="C78" s="11" t="s">
        <v>132</v>
      </c>
      <c r="D78" s="12" t="s">
        <v>133</v>
      </c>
      <c r="E78" s="1"/>
    </row>
    <row r="79" ht="19.5" customHeight="1" spans="1:5" x14ac:dyDescent="0.25">
      <c r="A79" s="1"/>
      <c r="B79" s="10" t="s">
        <v>131</v>
      </c>
      <c r="C79" s="11" t="s">
        <v>134</v>
      </c>
      <c r="D79" s="12" t="s">
        <v>135</v>
      </c>
      <c r="E79" s="1"/>
    </row>
    <row r="80" ht="19.5" customHeight="1" spans="1:5" x14ac:dyDescent="0.25">
      <c r="A80" s="1"/>
      <c r="B80" s="10" t="s">
        <v>131</v>
      </c>
      <c r="C80" s="11" t="s">
        <v>136</v>
      </c>
      <c r="D80" s="12" t="s">
        <v>137</v>
      </c>
      <c r="E80" s="1"/>
    </row>
    <row r="81" ht="19.5" customHeight="1" spans="1:5" x14ac:dyDescent="0.25">
      <c r="A81" s="1"/>
      <c r="B81" s="10" t="s">
        <v>131</v>
      </c>
      <c r="C81" s="11" t="s">
        <v>138</v>
      </c>
      <c r="D81" s="12" t="s">
        <v>139</v>
      </c>
      <c r="E81" s="1"/>
    </row>
    <row r="82" ht="19.5" customHeight="1" spans="1:5" x14ac:dyDescent="0.25">
      <c r="A82" s="1"/>
      <c r="B82" s="10" t="s">
        <v>131</v>
      </c>
      <c r="C82" s="11" t="s">
        <v>140</v>
      </c>
      <c r="D82" s="12" t="s">
        <v>141</v>
      </c>
      <c r="E82" s="1"/>
    </row>
    <row r="83" ht="19.5" customHeight="1" spans="1:5" x14ac:dyDescent="0.25">
      <c r="A83" s="1"/>
      <c r="B83" s="1"/>
      <c r="C83" s="1"/>
      <c r="D83" s="1"/>
      <c r="E83" s="1"/>
    </row>
    <row r="84" ht="9.75" customHeight="1" spans="1:5" x14ac:dyDescent="0.25">
      <c r="A84" s="1"/>
      <c r="B84" s="1"/>
      <c r="C84" s="1"/>
      <c r="D84" s="1"/>
      <c r="E84" s="1"/>
    </row>
    <row r="85" ht="27.75" customHeight="1" spans="1:5" x14ac:dyDescent="0.25">
      <c r="A85" s="1"/>
      <c r="B85" s="21" t="s">
        <v>142</v>
      </c>
      <c r="C85" s="3"/>
      <c r="D85" s="3"/>
      <c r="E85" s="1"/>
    </row>
    <row r="86" ht="19.5" customHeight="1" spans="1:5" x14ac:dyDescent="0.25">
      <c r="A86" s="1"/>
      <c r="B86" s="10" t="s">
        <v>143</v>
      </c>
      <c r="C86" s="11" t="s">
        <v>40</v>
      </c>
      <c r="D86" s="12" t="s">
        <v>144</v>
      </c>
      <c r="E86" s="1"/>
    </row>
    <row r="87" ht="19.5" customHeight="1" spans="1:5" x14ac:dyDescent="0.25">
      <c r="A87" s="1"/>
      <c r="B87" s="10" t="s">
        <v>143</v>
      </c>
      <c r="C87" s="11" t="s">
        <v>43</v>
      </c>
      <c r="D87" s="12" t="s">
        <v>145</v>
      </c>
      <c r="E87" s="1"/>
    </row>
    <row r="88" ht="19.5" customHeight="1" spans="1:5" x14ac:dyDescent="0.25">
      <c r="A88" s="1"/>
      <c r="B88" s="10" t="s">
        <v>143</v>
      </c>
      <c r="C88" s="11" t="s">
        <v>46</v>
      </c>
      <c r="D88" s="12" t="s">
        <v>146</v>
      </c>
      <c r="E88" s="1"/>
    </row>
    <row r="89" ht="19.5" customHeight="1" spans="1:5" x14ac:dyDescent="0.25">
      <c r="A89" s="1"/>
      <c r="B89" s="10" t="s">
        <v>143</v>
      </c>
      <c r="C89" s="11" t="s">
        <v>147</v>
      </c>
      <c r="D89" s="12" t="s">
        <v>148</v>
      </c>
      <c r="E89" s="1"/>
    </row>
    <row r="90" ht="19.5" customHeight="1" spans="1:5" x14ac:dyDescent="0.25">
      <c r="A90" s="1"/>
      <c r="B90" s="10" t="s">
        <v>143</v>
      </c>
      <c r="C90" s="11" t="s">
        <v>149</v>
      </c>
      <c r="D90" s="12" t="s">
        <v>150</v>
      </c>
      <c r="E90" s="1"/>
    </row>
    <row r="91" ht="19.5" customHeight="1" spans="1:5" x14ac:dyDescent="0.25">
      <c r="A91" s="1"/>
      <c r="B91" s="10" t="s">
        <v>143</v>
      </c>
      <c r="C91" s="11" t="s">
        <v>151</v>
      </c>
      <c r="D91" s="12" t="s">
        <v>152</v>
      </c>
      <c r="E91" s="1"/>
    </row>
    <row r="92" ht="19.5" customHeight="1" spans="1:5" x14ac:dyDescent="0.25">
      <c r="A92" s="1"/>
      <c r="B92" s="10" t="s">
        <v>143</v>
      </c>
      <c r="C92" s="11" t="s">
        <v>64</v>
      </c>
      <c r="D92" s="12" t="s">
        <v>153</v>
      </c>
      <c r="E92" s="1"/>
    </row>
    <row r="93" ht="19.5" customHeight="1" spans="1:5" x14ac:dyDescent="0.25">
      <c r="A93" s="1"/>
      <c r="B93" s="10" t="s">
        <v>143</v>
      </c>
      <c r="C93" s="11" t="s">
        <v>70</v>
      </c>
      <c r="D93" s="12" t="s">
        <v>154</v>
      </c>
      <c r="E93" s="1"/>
    </row>
    <row r="94" ht="19.5" customHeight="1" spans="1:5" x14ac:dyDescent="0.25">
      <c r="A94" s="1"/>
      <c r="B94" s="10" t="s">
        <v>143</v>
      </c>
      <c r="C94" s="11" t="s">
        <v>73</v>
      </c>
      <c r="D94" s="12" t="s">
        <v>155</v>
      </c>
      <c r="E94" s="1"/>
    </row>
    <row r="95" ht="19.5" customHeight="1" spans="1:5" x14ac:dyDescent="0.25">
      <c r="A95" s="1"/>
      <c r="B95" s="10" t="s">
        <v>143</v>
      </c>
      <c r="C95" s="11" t="s">
        <v>76</v>
      </c>
      <c r="D95" s="12" t="s">
        <v>156</v>
      </c>
      <c r="E95" s="1"/>
    </row>
    <row r="96" ht="19.5" customHeight="1" spans="1:5" x14ac:dyDescent="0.25">
      <c r="A96" s="1"/>
      <c r="B96" s="10" t="s">
        <v>143</v>
      </c>
      <c r="C96" s="11" t="s">
        <v>79</v>
      </c>
      <c r="D96" s="12" t="s">
        <v>157</v>
      </c>
      <c r="E96" s="1"/>
    </row>
    <row r="97" ht="19.5" customHeight="1" spans="1:5" x14ac:dyDescent="0.25">
      <c r="A97" s="1"/>
      <c r="B97" s="10" t="s">
        <v>143</v>
      </c>
      <c r="C97" s="11" t="s">
        <v>82</v>
      </c>
      <c r="D97" s="12" t="s">
        <v>158</v>
      </c>
      <c r="E97" s="1"/>
    </row>
    <row r="98" ht="19.5" customHeight="1" spans="1:5" x14ac:dyDescent="0.25">
      <c r="A98" s="1"/>
      <c r="B98" s="1"/>
      <c r="C98" s="1"/>
      <c r="D98" s="1"/>
      <c r="E98" s="1"/>
    </row>
    <row r="99" ht="9.75" customHeight="1" spans="1:5" x14ac:dyDescent="0.25">
      <c r="A99" s="1"/>
      <c r="B99" s="1"/>
      <c r="C99" s="1"/>
      <c r="D99" s="1"/>
      <c r="E99" s="1"/>
    </row>
    <row r="100" ht="21.75" customHeight="1" spans="1:5" x14ac:dyDescent="0.25">
      <c r="A100" s="1"/>
      <c r="B100" s="22" t="s">
        <v>159</v>
      </c>
      <c r="C100" s="3"/>
      <c r="D100" s="3"/>
      <c r="E100" s="1"/>
    </row>
    <row r="101" ht="19.5" customHeight="1" spans="1:5" x14ac:dyDescent="0.25">
      <c r="A101" s="1"/>
      <c r="B101" s="1"/>
      <c r="C101" s="1"/>
      <c r="D101" s="1"/>
      <c r="E101" s="1"/>
    </row>
    <row r="102" ht="19.5" customHeight="1" spans="1:5" x14ac:dyDescent="0.25">
      <c r="A102" s="1"/>
      <c r="B102" s="1"/>
      <c r="C102" s="1"/>
      <c r="D102" s="1"/>
      <c r="E102" s="1"/>
    </row>
    <row r="103" ht="19.5" customHeight="1" spans="1:5" x14ac:dyDescent="0.25">
      <c r="A103" s="1"/>
      <c r="B103" s="1"/>
      <c r="C103" s="1"/>
      <c r="D103" s="1"/>
      <c r="E103" s="1"/>
    </row>
    <row r="104" ht="19.5" customHeight="1" spans="1:5" x14ac:dyDescent="0.25">
      <c r="A104" s="1"/>
      <c r="B104" s="1"/>
      <c r="C104" s="1"/>
      <c r="D104" s="1"/>
      <c r="E104" s="1"/>
    </row>
    <row r="105" ht="19.5" customHeight="1" spans="1:5" x14ac:dyDescent="0.25">
      <c r="A105" s="1"/>
      <c r="B105" s="1"/>
      <c r="C105" s="1"/>
      <c r="D105" s="1"/>
      <c r="E105" s="1"/>
    </row>
    <row r="106" ht="19.5" customHeight="1" spans="1:5" x14ac:dyDescent="0.25">
      <c r="A106" s="1"/>
      <c r="B106" s="1"/>
      <c r="C106" s="1"/>
      <c r="D106" s="1"/>
      <c r="E106" s="1"/>
    </row>
    <row r="107" ht="19.5" customHeight="1" spans="1:5" x14ac:dyDescent="0.25">
      <c r="A107" s="1"/>
      <c r="B107" s="1"/>
      <c r="C107" s="1"/>
      <c r="D107" s="1"/>
      <c r="E107" s="1"/>
    </row>
    <row r="108" ht="19.5" customHeight="1" spans="1:5" x14ac:dyDescent="0.25">
      <c r="A108" s="1"/>
      <c r="B108" s="1"/>
      <c r="C108" s="1"/>
      <c r="D108" s="1"/>
      <c r="E108" s="1"/>
    </row>
    <row r="109" ht="19.5" customHeight="1" spans="1:5" x14ac:dyDescent="0.25">
      <c r="A109" s="1"/>
      <c r="B109" s="1"/>
      <c r="C109" s="1"/>
      <c r="D109" s="1"/>
      <c r="E109" s="1"/>
    </row>
    <row r="110" ht="19.5" customHeight="1" spans="1:5" x14ac:dyDescent="0.25">
      <c r="A110" s="1"/>
      <c r="B110" s="1"/>
      <c r="C110" s="1"/>
      <c r="D110" s="1"/>
      <c r="E110" s="1"/>
    </row>
    <row r="111" ht="19.5" customHeight="1" spans="1:5" x14ac:dyDescent="0.25">
      <c r="A111" s="1"/>
      <c r="B111" s="1"/>
      <c r="C111" s="1"/>
      <c r="D111" s="1"/>
      <c r="E111" s="1"/>
    </row>
    <row r="112" ht="19.5" customHeight="1" spans="1:5" x14ac:dyDescent="0.25">
      <c r="A112" s="1"/>
      <c r="B112" s="1"/>
      <c r="C112" s="1"/>
      <c r="D112" s="1"/>
      <c r="E112" s="1"/>
    </row>
    <row r="113" ht="19.5" customHeight="1" spans="1:5" x14ac:dyDescent="0.25">
      <c r="A113" s="1"/>
      <c r="B113" s="1"/>
      <c r="C113" s="1"/>
      <c r="D113" s="1"/>
      <c r="E113" s="1"/>
    </row>
    <row r="114" ht="19.5" customHeight="1" spans="1:5" x14ac:dyDescent="0.25">
      <c r="A114" s="1"/>
      <c r="B114" s="1"/>
      <c r="C114" s="1"/>
      <c r="D114" s="1"/>
      <c r="E114" s="1"/>
    </row>
    <row r="115" ht="19.5" customHeight="1" spans="1:5" x14ac:dyDescent="0.25">
      <c r="A115" s="1"/>
      <c r="B115" s="1"/>
      <c r="C115" s="1"/>
      <c r="D115" s="1"/>
      <c r="E115" s="1"/>
    </row>
    <row r="116" ht="19.5" customHeight="1" spans="1:5" x14ac:dyDescent="0.25">
      <c r="A116" s="1"/>
      <c r="B116" s="1"/>
      <c r="C116" s="1"/>
      <c r="D116" s="1"/>
      <c r="E116" s="1"/>
    </row>
    <row r="117" ht="19.5" customHeight="1" spans="1:5" x14ac:dyDescent="0.25">
      <c r="A117" s="1"/>
      <c r="B117" s="1"/>
      <c r="C117" s="1"/>
      <c r="D117" s="1"/>
      <c r="E117" s="1"/>
    </row>
    <row r="118" ht="19.5" customHeight="1" spans="1:5" x14ac:dyDescent="0.25">
      <c r="A118" s="1"/>
      <c r="B118" s="1"/>
      <c r="C118" s="1"/>
      <c r="D118" s="1"/>
      <c r="E118" s="1"/>
    </row>
    <row r="119" ht="19.5" customHeight="1" spans="1:5" x14ac:dyDescent="0.25">
      <c r="A119" s="1"/>
      <c r="B119" s="1"/>
      <c r="C119" s="1"/>
      <c r="D119" s="1"/>
      <c r="E119" s="1"/>
    </row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2:D2"/>
    <mergeCell ref="B4:D4"/>
    <mergeCell ref="B7:D7"/>
    <mergeCell ref="B8:D8"/>
    <mergeCell ref="B10:D10"/>
    <mergeCell ref="B17:D17"/>
    <mergeCell ref="B23:D23"/>
    <mergeCell ref="B26:D26"/>
    <mergeCell ref="B27:D27"/>
    <mergeCell ref="B47:D47"/>
    <mergeCell ref="B50:D50"/>
    <mergeCell ref="B53:D53"/>
    <mergeCell ref="B63:D63"/>
    <mergeCell ref="B69:D69"/>
    <mergeCell ref="B74:D74"/>
    <mergeCell ref="B77:D77"/>
    <mergeCell ref="B85:D85"/>
    <mergeCell ref="B100:D100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" customWidth="1"/>
    <col min="2" max="2" width="28" customWidth="1"/>
    <col min="3" max="6" width="22" customWidth="1"/>
    <col min="7" max="7" width="3" customWidth="1"/>
    <col min="8" max="26" width="8.71" customWidth="1"/>
  </cols>
  <sheetData>
    <row r="1" ht="19.5" customHeight="1" spans="1:7" x14ac:dyDescent="0.25">
      <c r="A1" s="1"/>
      <c r="B1" s="1"/>
      <c r="C1" s="1"/>
      <c r="D1" s="1"/>
      <c r="E1" s="1"/>
      <c r="F1" s="1"/>
      <c r="G1" s="1"/>
    </row>
    <row r="2" ht="43.5" customHeight="1" spans="1:7" x14ac:dyDescent="0.25">
      <c r="A2" s="1"/>
      <c r="B2" s="23" t="s">
        <v>160</v>
      </c>
      <c r="C2" s="3"/>
      <c r="D2" s="3"/>
      <c r="E2" s="3"/>
      <c r="F2" s="3"/>
      <c r="G2" s="1"/>
    </row>
    <row r="3" ht="3.75" customHeight="1" spans="1:7" x14ac:dyDescent="0.25">
      <c r="A3" s="1"/>
      <c r="B3" s="4"/>
      <c r="C3" s="4"/>
      <c r="D3" s="4"/>
      <c r="E3" s="4"/>
      <c r="F3" s="4"/>
      <c r="G3" s="1"/>
    </row>
    <row r="4" ht="19.5" customHeight="1" spans="1:7" x14ac:dyDescent="0.25">
      <c r="A4" s="1"/>
      <c r="B4" s="1"/>
      <c r="C4" s="1"/>
      <c r="D4" s="1"/>
      <c r="E4" s="1"/>
      <c r="F4" s="1"/>
      <c r="G4" s="1"/>
    </row>
    <row r="5" ht="21.75" customHeight="1" spans="1:7" x14ac:dyDescent="0.25">
      <c r="A5" s="1"/>
      <c r="B5" s="24" t="s">
        <v>161</v>
      </c>
      <c r="C5" s="3"/>
      <c r="D5" s="3"/>
      <c r="E5" s="3"/>
      <c r="F5" s="3"/>
      <c r="G5" s="1"/>
    </row>
    <row r="6" ht="21.75" customHeight="1" spans="1:7" x14ac:dyDescent="0.25">
      <c r="A6" s="1"/>
      <c r="B6" s="11" t="s">
        <v>162</v>
      </c>
      <c r="C6" s="25" t="s">
        <v>163</v>
      </c>
      <c r="D6" s="1"/>
      <c r="E6" s="1"/>
      <c r="F6" s="1"/>
      <c r="G6" s="1"/>
    </row>
    <row r="7" ht="18" customHeight="1" spans="1:7" x14ac:dyDescent="0.25">
      <c r="A7" s="1"/>
      <c r="B7" s="26" t="s">
        <v>164</v>
      </c>
      <c r="C7" s="3"/>
      <c r="D7" s="3"/>
      <c r="E7" s="3"/>
      <c r="F7" s="3"/>
      <c r="G7" s="1"/>
    </row>
    <row r="8" ht="19.5" customHeight="1" spans="1:7" x14ac:dyDescent="0.25">
      <c r="A8" s="1"/>
      <c r="B8" s="1"/>
      <c r="C8" s="1"/>
      <c r="D8" s="1"/>
      <c r="E8" s="1"/>
      <c r="F8" s="1"/>
      <c r="G8" s="1"/>
    </row>
    <row r="9" ht="21.75" customHeight="1" spans="1:7" x14ac:dyDescent="0.25">
      <c r="A9" s="1"/>
      <c r="B9" s="24" t="s">
        <v>165</v>
      </c>
      <c r="C9" s="3"/>
      <c r="D9" s="3"/>
      <c r="E9" s="3"/>
      <c r="F9" s="3"/>
      <c r="G9" s="1"/>
    </row>
    <row r="10" ht="21.75" customHeight="1" spans="1:7" x14ac:dyDescent="0.25">
      <c r="A10" s="1"/>
      <c r="B10" s="11" t="s">
        <v>166</v>
      </c>
      <c r="C10" s="27">
        <v>2026</v>
      </c>
      <c r="D10" s="1"/>
      <c r="E10" s="1"/>
      <c r="F10" s="1"/>
      <c r="G10" s="1"/>
    </row>
    <row r="11" ht="18" customHeight="1" spans="1:7" x14ac:dyDescent="0.25">
      <c r="A11" s="1"/>
      <c r="B11" s="26" t="s">
        <v>167</v>
      </c>
      <c r="C11" s="3"/>
      <c r="D11" s="3"/>
      <c r="E11" s="3"/>
      <c r="F11" s="3"/>
      <c r="G11" s="1"/>
    </row>
    <row r="12" ht="19.5" customHeight="1" spans="1:7" x14ac:dyDescent="0.25">
      <c r="A12" s="1"/>
      <c r="B12" s="1"/>
      <c r="C12" s="1"/>
      <c r="D12" s="1"/>
      <c r="E12" s="1"/>
      <c r="F12" s="1"/>
      <c r="G12" s="1"/>
    </row>
    <row r="13" ht="21.75" customHeight="1" spans="1:7" x14ac:dyDescent="0.25">
      <c r="A13" s="1"/>
      <c r="B13" s="24" t="s">
        <v>168</v>
      </c>
      <c r="C13" s="3"/>
      <c r="D13" s="3"/>
      <c r="E13" s="3"/>
      <c r="F13" s="3"/>
      <c r="G13" s="1"/>
    </row>
    <row r="14" ht="21.75" customHeight="1" spans="1:7" x14ac:dyDescent="0.25">
      <c r="A14" s="1"/>
      <c r="B14" s="11" t="s">
        <v>58</v>
      </c>
      <c r="C14" s="28">
        <v>0.06</v>
      </c>
      <c r="D14" s="29" t="s">
        <v>169</v>
      </c>
      <c r="E14" s="3"/>
      <c r="F14" s="3"/>
      <c r="G14" s="1"/>
    </row>
    <row r="15" ht="21.75" customHeight="1" spans="1:7" x14ac:dyDescent="0.25">
      <c r="A15" s="1"/>
      <c r="B15" s="11" t="s">
        <v>61</v>
      </c>
      <c r="C15" s="30">
        <v>0.1</v>
      </c>
      <c r="D15" s="29" t="s">
        <v>169</v>
      </c>
      <c r="E15" s="3"/>
      <c r="F15" s="3"/>
      <c r="G15" s="1"/>
    </row>
    <row r="16" ht="21.75" customHeight="1" spans="1:7" x14ac:dyDescent="0.25">
      <c r="A16" s="1"/>
      <c r="B16" s="11" t="s">
        <v>64</v>
      </c>
      <c r="C16" s="31">
        <v>0.05</v>
      </c>
      <c r="D16" s="29" t="s">
        <v>169</v>
      </c>
      <c r="E16" s="3"/>
      <c r="F16" s="3"/>
      <c r="G16" s="1"/>
    </row>
    <row r="17" ht="19.5" customHeight="1" spans="1:7" x14ac:dyDescent="0.25">
      <c r="A17" s="1"/>
      <c r="B17" s="1"/>
      <c r="C17" s="1"/>
      <c r="D17" s="1"/>
      <c r="E17" s="1"/>
      <c r="F17" s="1"/>
      <c r="G17" s="1"/>
    </row>
    <row r="18" ht="19.5" customHeight="1" spans="1:7" x14ac:dyDescent="0.25">
      <c r="A18" s="1"/>
      <c r="B18" s="1"/>
      <c r="C18" s="1"/>
      <c r="D18" s="1"/>
      <c r="E18" s="1"/>
      <c r="F18" s="1"/>
      <c r="G18" s="1"/>
    </row>
    <row r="19" ht="19.5" customHeight="1" spans="1:7" x14ac:dyDescent="0.25">
      <c r="A19" s="1"/>
      <c r="B19" s="1"/>
      <c r="C19" s="1"/>
      <c r="D19" s="1"/>
      <c r="E19" s="1"/>
      <c r="F19" s="1"/>
      <c r="G19" s="1"/>
    </row>
    <row r="20" ht="19.5" customHeight="1" spans="1:7" x14ac:dyDescent="0.25">
      <c r="A20" s="1"/>
      <c r="B20" s="1"/>
      <c r="C20" s="1"/>
      <c r="D20" s="1"/>
      <c r="E20" s="1"/>
      <c r="F20" s="1"/>
      <c r="G20" s="1"/>
    </row>
    <row r="21" ht="19.5" customHeight="1" spans="1:7" x14ac:dyDescent="0.25">
      <c r="A21" s="1"/>
      <c r="B21" s="1"/>
      <c r="C21" s="1"/>
      <c r="D21" s="1"/>
      <c r="E21" s="1"/>
      <c r="F21" s="1"/>
      <c r="G21" s="1"/>
    </row>
    <row r="22" ht="19.5" customHeight="1" spans="1:7" x14ac:dyDescent="0.25">
      <c r="A22" s="1"/>
      <c r="B22" s="1"/>
      <c r="C22" s="1"/>
      <c r="D22" s="1"/>
      <c r="E22" s="1"/>
      <c r="F22" s="1"/>
      <c r="G22" s="1"/>
    </row>
    <row r="23" ht="19.5" customHeight="1" spans="1:7" x14ac:dyDescent="0.25">
      <c r="A23" s="1"/>
      <c r="B23" s="1"/>
      <c r="C23" s="1"/>
      <c r="D23" s="1"/>
      <c r="E23" s="1"/>
      <c r="F23" s="1"/>
      <c r="G23" s="1"/>
    </row>
    <row r="24" ht="19.5" customHeight="1" spans="1:7" x14ac:dyDescent="0.25">
      <c r="A24" s="1"/>
      <c r="B24" s="1"/>
      <c r="C24" s="1"/>
      <c r="D24" s="1"/>
      <c r="E24" s="1"/>
      <c r="F24" s="1"/>
      <c r="G24" s="1"/>
    </row>
    <row r="25" ht="19.5" customHeight="1" spans="1:7" x14ac:dyDescent="0.25">
      <c r="A25" s="1"/>
      <c r="B25" s="1"/>
      <c r="C25" s="1"/>
      <c r="D25" s="1"/>
      <c r="E25" s="1"/>
      <c r="F25" s="1"/>
      <c r="G25" s="1"/>
    </row>
    <row r="26" ht="19.5" customHeight="1" spans="1:7" x14ac:dyDescent="0.25">
      <c r="A26" s="1"/>
      <c r="B26" s="1"/>
      <c r="C26" s="1"/>
      <c r="D26" s="1"/>
      <c r="E26" s="1"/>
      <c r="F26" s="1"/>
      <c r="G26" s="1"/>
    </row>
    <row r="27" ht="19.5" customHeight="1" spans="1:7" x14ac:dyDescent="0.25">
      <c r="A27" s="1"/>
      <c r="B27" s="1"/>
      <c r="C27" s="1"/>
      <c r="D27" s="1"/>
      <c r="E27" s="1"/>
      <c r="F27" s="1"/>
      <c r="G27" s="1"/>
    </row>
    <row r="28" ht="19.5" customHeight="1" spans="1:7" x14ac:dyDescent="0.25">
      <c r="A28" s="1"/>
      <c r="B28" s="1"/>
      <c r="C28" s="1"/>
      <c r="D28" s="1"/>
      <c r="E28" s="1"/>
      <c r="F28" s="1"/>
      <c r="G28" s="1"/>
    </row>
    <row r="29" ht="19.5" customHeight="1" spans="1:7" x14ac:dyDescent="0.25">
      <c r="A29" s="1"/>
      <c r="B29" s="1"/>
      <c r="C29" s="1"/>
      <c r="D29" s="1"/>
      <c r="E29" s="1"/>
      <c r="F29" s="1"/>
      <c r="G29" s="1"/>
    </row>
    <row r="30" ht="19.5" customHeight="1" spans="1:7" x14ac:dyDescent="0.25">
      <c r="A30" s="1"/>
      <c r="B30" s="1"/>
      <c r="C30" s="1"/>
      <c r="D30" s="1"/>
      <c r="E30" s="1"/>
      <c r="F30" s="1"/>
      <c r="G30" s="1"/>
    </row>
    <row r="31" ht="19.5" customHeight="1" spans="1:7" x14ac:dyDescent="0.25">
      <c r="A31" s="1"/>
      <c r="B31" s="1"/>
      <c r="C31" s="1"/>
      <c r="D31" s="1"/>
      <c r="E31" s="1"/>
      <c r="F31" s="1"/>
      <c r="G31" s="1"/>
    </row>
    <row r="32" ht="19.5" customHeight="1" spans="1:7" x14ac:dyDescent="0.25">
      <c r="A32" s="1"/>
      <c r="B32" s="1"/>
      <c r="C32" s="1"/>
      <c r="D32" s="1"/>
      <c r="E32" s="1"/>
      <c r="F32" s="1"/>
      <c r="G32" s="1"/>
    </row>
    <row r="33" ht="19.5" customHeight="1" spans="1:7" x14ac:dyDescent="0.25">
      <c r="A33" s="1"/>
      <c r="B33" s="1"/>
      <c r="C33" s="1"/>
      <c r="D33" s="1"/>
      <c r="E33" s="1"/>
      <c r="F33" s="1"/>
      <c r="G33" s="1"/>
    </row>
    <row r="34" ht="19.5" customHeight="1" spans="1:7" x14ac:dyDescent="0.25">
      <c r="A34" s="1"/>
      <c r="B34" s="1"/>
      <c r="C34" s="1"/>
      <c r="D34" s="1"/>
      <c r="E34" s="1"/>
      <c r="F34" s="1"/>
      <c r="G34" s="1"/>
    </row>
    <row r="35" ht="19.5" customHeight="1" spans="1:7" x14ac:dyDescent="0.25">
      <c r="A35" s="1"/>
      <c r="B35" s="1"/>
      <c r="C35" s="1"/>
      <c r="D35" s="1"/>
      <c r="E35" s="1"/>
      <c r="F35" s="1"/>
      <c r="G35" s="1"/>
    </row>
    <row r="36" ht="19.5" customHeight="1" spans="1:7" x14ac:dyDescent="0.25">
      <c r="A36" s="1"/>
      <c r="B36" s="1"/>
      <c r="C36" s="1"/>
      <c r="D36" s="1"/>
      <c r="E36" s="1"/>
      <c r="F36" s="1"/>
      <c r="G36" s="1"/>
    </row>
    <row r="37" ht="19.5" customHeight="1" spans="1:7" x14ac:dyDescent="0.25">
      <c r="A37" s="1"/>
      <c r="B37" s="1"/>
      <c r="C37" s="1"/>
      <c r="D37" s="1"/>
      <c r="E37" s="1"/>
      <c r="F37" s="1"/>
      <c r="G37" s="1"/>
    </row>
    <row r="38" ht="19.5" customHeight="1" spans="1:7" x14ac:dyDescent="0.25">
      <c r="A38" s="1"/>
      <c r="B38" s="1"/>
      <c r="C38" s="1"/>
      <c r="D38" s="1"/>
      <c r="E38" s="1"/>
      <c r="F38" s="1"/>
      <c r="G38" s="1"/>
    </row>
    <row r="39" ht="19.5" customHeight="1" spans="1:7" x14ac:dyDescent="0.25">
      <c r="A39" s="1"/>
      <c r="B39" s="1"/>
      <c r="C39" s="1"/>
      <c r="D39" s="1"/>
      <c r="E39" s="1"/>
      <c r="F39" s="1"/>
      <c r="G39" s="1"/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B2:F2"/>
    <mergeCell ref="B5:F5"/>
    <mergeCell ref="B7:F7"/>
    <mergeCell ref="B9:F9"/>
    <mergeCell ref="B11:F11"/>
    <mergeCell ref="B13:F13"/>
    <mergeCell ref="D14:F14"/>
    <mergeCell ref="D15:F15"/>
    <mergeCell ref="D16:F16"/>
  </mergeCells>
  <dataValidations count="1">
    <dataValidation type="list" allowBlank="1" showInputMessage="1" prompt="Select Currency - Choose: € (EUR)  |  $ (USD)  |  £ (GBP)" showErrorMessage="1" sqref="C6">
      <formula1>"€,$,£"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" customWidth="1"/>
    <col min="2" max="7" width="22" customWidth="1"/>
    <col min="8" max="8" width="3" customWidth="1"/>
    <col min="9" max="26" width="8.71" customWidth="1"/>
  </cols>
  <sheetData>
    <row r="1" ht="19.5" customHeight="1" spans="1:8" x14ac:dyDescent="0.25">
      <c r="A1" s="1"/>
      <c r="B1" s="1"/>
      <c r="C1" s="1"/>
      <c r="D1" s="1"/>
      <c r="E1" s="1"/>
      <c r="F1" s="1"/>
      <c r="G1" s="1"/>
      <c r="H1" s="1"/>
    </row>
    <row r="2" ht="49.5" customHeight="1" spans="1:8" x14ac:dyDescent="0.25">
      <c r="A2" s="1"/>
      <c r="B2" s="2" t="s">
        <v>170</v>
      </c>
      <c r="C2" s="3"/>
      <c r="D2" s="3"/>
      <c r="E2" s="3"/>
      <c r="F2" s="3"/>
      <c r="G2" s="32" t="str">
        <f>"Currency: "&amp;'⚙ Settings'!C6</f>
        <v>Currency: €</v>
      </c>
      <c r="H2" s="1"/>
    </row>
    <row r="3" ht="3.75" customHeight="1" spans="1:8" x14ac:dyDescent="0.25">
      <c r="A3" s="1"/>
      <c r="B3" s="4"/>
      <c r="C3" s="4"/>
      <c r="D3" s="4"/>
      <c r="E3" s="4"/>
      <c r="F3" s="4"/>
      <c r="G3" s="4"/>
      <c r="H3" s="1"/>
    </row>
    <row r="4" ht="13.5" customHeight="1" spans="1:8" x14ac:dyDescent="0.25">
      <c r="A4" s="1"/>
      <c r="B4" s="1"/>
      <c r="C4" s="1"/>
      <c r="D4" s="1"/>
      <c r="E4" s="1"/>
      <c r="F4" s="1"/>
      <c r="G4" s="1"/>
      <c r="H4" s="1"/>
    </row>
    <row r="5" ht="21.75" customHeight="1" spans="1:8" x14ac:dyDescent="0.25">
      <c r="A5" s="1"/>
      <c r="B5" s="24" t="s">
        <v>171</v>
      </c>
      <c r="C5" s="3"/>
      <c r="D5" s="3"/>
      <c r="E5" s="3"/>
      <c r="F5" s="3"/>
      <c r="G5" s="3"/>
      <c r="H5" s="1"/>
    </row>
    <row r="6" ht="18" customHeight="1" spans="1:8" x14ac:dyDescent="0.25">
      <c r="A6" s="1"/>
      <c r="B6" s="33"/>
      <c r="C6" s="34"/>
      <c r="D6" s="35"/>
      <c r="E6" s="36"/>
      <c r="F6" s="37"/>
      <c r="G6" s="38"/>
      <c r="H6" s="1"/>
    </row>
    <row r="7" ht="36" customHeight="1" spans="1:8" x14ac:dyDescent="0.25">
      <c r="A7" s="1"/>
      <c r="B7" s="39" t="s">
        <v>172</v>
      </c>
      <c r="C7" s="39" t="s">
        <v>173</v>
      </c>
      <c r="D7" s="39" t="s">
        <v>174</v>
      </c>
      <c r="E7" s="39" t="s">
        <v>175</v>
      </c>
      <c r="F7" s="39" t="s">
        <v>176</v>
      </c>
      <c r="G7" s="39" t="s">
        <v>177</v>
      </c>
      <c r="H7" s="1"/>
    </row>
    <row r="8" ht="24.75" customHeight="1" spans="1:8" x14ac:dyDescent="0.25">
      <c r="A8" s="1"/>
      <c r="B8" s="40">
        <f>January!B39+February!B36+March!B39+April!B38+May!B39+June!B38+July!B39+August!B39+September!B38+October!B39+November!B38+December!B39</f>
        <v>0</v>
      </c>
      <c r="C8" s="41">
        <f>January!D39+February!D36+March!D39+April!D38+May!D39+June!D38+July!D39+August!D39+September!D38+October!D39+November!D38+December!D39</f>
        <v>0</v>
      </c>
      <c r="D8" s="42">
        <f>January!L39+February!L36+March!L39+April!L38+May!L39+June!L38+July!L39+August!L39+September!L38+October!L39+November!L38+December!L39</f>
        <v>0</v>
      </c>
      <c r="E8" s="43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F8" s="44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  <c r="G8" s="45">
        <f>January!F39+February!F36+March!F39+April!F38+May!F39+June!F38+July!F39+August!F39+September!F38+October!F39+November!F38+December!F39+January!G39+February!G36+March!G39+April!G38+May!G39+June!G38+July!G39+August!G39+September!G38+October!G39+November!G38+December!G39</f>
        <v>0</v>
      </c>
      <c r="H8" s="1"/>
    </row>
    <row r="9" ht="19.5" customHeight="1" spans="1:8" x14ac:dyDescent="0.25">
      <c r="A9" s="1"/>
      <c r="B9" s="1"/>
      <c r="C9" s="1"/>
      <c r="D9" s="1"/>
      <c r="E9" s="1"/>
      <c r="F9" s="1"/>
      <c r="G9" s="1"/>
      <c r="H9" s="1"/>
    </row>
    <row r="10" ht="9.75" customHeight="1" spans="1:8" x14ac:dyDescent="0.25">
      <c r="A10" s="1"/>
      <c r="B10" s="1"/>
      <c r="C10" s="1"/>
      <c r="D10" s="1"/>
      <c r="E10" s="1"/>
      <c r="F10" s="1"/>
      <c r="G10" s="1"/>
      <c r="H10" s="1"/>
    </row>
    <row r="11" ht="21.75" customHeight="1" spans="1:8" x14ac:dyDescent="0.25">
      <c r="A11" s="1"/>
      <c r="B11" s="24" t="s">
        <v>178</v>
      </c>
      <c r="C11" s="3"/>
      <c r="D11" s="3"/>
      <c r="E11" s="3"/>
      <c r="F11" s="3"/>
      <c r="G11" s="3"/>
      <c r="H11" s="1"/>
    </row>
    <row r="12" ht="24" customHeight="1" spans="1:8" x14ac:dyDescent="0.25">
      <c r="A12" s="1"/>
      <c r="B12" s="46" t="s">
        <v>179</v>
      </c>
      <c r="C12" s="47" t="s">
        <v>180</v>
      </c>
      <c r="D12" s="48" t="s">
        <v>181</v>
      </c>
      <c r="E12" s="49" t="s">
        <v>182</v>
      </c>
      <c r="F12" s="50" t="s">
        <v>183</v>
      </c>
      <c r="G12" s="51" t="s">
        <v>79</v>
      </c>
      <c r="H12" s="1"/>
    </row>
    <row r="13" ht="21.75" customHeight="1" spans="1:8" x14ac:dyDescent="0.25">
      <c r="A13" s="1"/>
      <c r="B13" s="52" t="s">
        <v>184</v>
      </c>
      <c r="C13" s="53">
        <f>January!B39</f>
        <v>0</v>
      </c>
      <c r="D13" s="53">
        <f>January!D39</f>
        <v>0</v>
      </c>
      <c r="E13" s="54">
        <f>January!L39</f>
        <v>0</v>
      </c>
      <c r="F13" s="55" t="str">
        <f>January!M39</f>
        <v>-</v>
      </c>
      <c r="G13" s="56" t="str">
        <f>January!O39</f>
        <v>-</v>
      </c>
      <c r="H13" s="1"/>
    </row>
    <row r="14" ht="21.75" customHeight="1" spans="1:8" x14ac:dyDescent="0.25">
      <c r="A14" s="1"/>
      <c r="B14" s="11" t="s">
        <v>185</v>
      </c>
      <c r="C14" s="57">
        <f>February!B36</f>
        <v>0</v>
      </c>
      <c r="D14" s="57">
        <f>February!D36</f>
        <v>0</v>
      </c>
      <c r="E14" s="58">
        <f>February!L36</f>
        <v>0</v>
      </c>
      <c r="F14" s="59" t="str">
        <f>February!M36</f>
        <v>-</v>
      </c>
      <c r="G14" s="60" t="str">
        <f>February!O36</f>
        <v>-</v>
      </c>
      <c r="H14" s="1"/>
    </row>
    <row r="15" ht="21.75" customHeight="1" spans="1:8" x14ac:dyDescent="0.25">
      <c r="A15" s="1"/>
      <c r="B15" s="52" t="s">
        <v>186</v>
      </c>
      <c r="C15" s="53">
        <f>March!B39</f>
        <v>0</v>
      </c>
      <c r="D15" s="53">
        <f>March!D39</f>
        <v>0</v>
      </c>
      <c r="E15" s="54">
        <f>March!L39</f>
        <v>0</v>
      </c>
      <c r="F15" s="55" t="str">
        <f>March!M39</f>
        <v>-</v>
      </c>
      <c r="G15" s="56" t="str">
        <f>March!O39</f>
        <v>-</v>
      </c>
      <c r="H15" s="1"/>
    </row>
    <row r="16" ht="21.75" customHeight="1" spans="1:8" x14ac:dyDescent="0.25">
      <c r="A16" s="1"/>
      <c r="B16" s="11" t="s">
        <v>187</v>
      </c>
      <c r="C16" s="57">
        <f>April!B38</f>
        <v>0</v>
      </c>
      <c r="D16" s="57">
        <f>April!D38</f>
        <v>0</v>
      </c>
      <c r="E16" s="58">
        <f>April!L38</f>
        <v>0</v>
      </c>
      <c r="F16" s="59" t="str">
        <f>April!M38</f>
        <v>-</v>
      </c>
      <c r="G16" s="60" t="str">
        <f>April!O38</f>
        <v>-</v>
      </c>
      <c r="H16" s="1"/>
    </row>
    <row r="17" ht="21.75" customHeight="1" spans="1:8" x14ac:dyDescent="0.25">
      <c r="A17" s="1"/>
      <c r="B17" s="52" t="s">
        <v>188</v>
      </c>
      <c r="C17" s="53">
        <f>May!B39</f>
        <v>0</v>
      </c>
      <c r="D17" s="53">
        <f>May!D39</f>
        <v>0</v>
      </c>
      <c r="E17" s="54">
        <f>May!L39</f>
        <v>0</v>
      </c>
      <c r="F17" s="55" t="str">
        <f>May!M39</f>
        <v>-</v>
      </c>
      <c r="G17" s="56" t="str">
        <f>May!O39</f>
        <v>-</v>
      </c>
      <c r="H17" s="1"/>
    </row>
    <row r="18" ht="21.75" customHeight="1" spans="1:8" x14ac:dyDescent="0.25">
      <c r="A18" s="1"/>
      <c r="B18" s="11" t="s">
        <v>189</v>
      </c>
      <c r="C18" s="57">
        <f>June!B38</f>
        <v>0</v>
      </c>
      <c r="D18" s="57">
        <f>June!D38</f>
        <v>0</v>
      </c>
      <c r="E18" s="58">
        <f>June!L38</f>
        <v>0</v>
      </c>
      <c r="F18" s="59" t="str">
        <f>June!M38</f>
        <v>-</v>
      </c>
      <c r="G18" s="60" t="str">
        <f>June!O38</f>
        <v>-</v>
      </c>
      <c r="H18" s="1"/>
    </row>
    <row r="19" ht="21.75" customHeight="1" spans="1:8" x14ac:dyDescent="0.25">
      <c r="A19" s="1"/>
      <c r="B19" s="52" t="s">
        <v>190</v>
      </c>
      <c r="C19" s="53">
        <f>July!B39</f>
        <v>0</v>
      </c>
      <c r="D19" s="53">
        <f>July!D39</f>
        <v>0</v>
      </c>
      <c r="E19" s="54">
        <f>July!L39</f>
        <v>0</v>
      </c>
      <c r="F19" s="55" t="str">
        <f>July!M39</f>
        <v>-</v>
      </c>
      <c r="G19" s="56" t="str">
        <f>July!O39</f>
        <v>-</v>
      </c>
      <c r="H19" s="1"/>
    </row>
    <row r="20" ht="21.75" customHeight="1" spans="1:8" x14ac:dyDescent="0.25">
      <c r="A20" s="1"/>
      <c r="B20" s="11" t="s">
        <v>191</v>
      </c>
      <c r="C20" s="57">
        <f>August!B39</f>
        <v>0</v>
      </c>
      <c r="D20" s="57">
        <f>August!D39</f>
        <v>0</v>
      </c>
      <c r="E20" s="58">
        <f>August!L39</f>
        <v>0</v>
      </c>
      <c r="F20" s="59" t="str">
        <f>August!M39</f>
        <v>-</v>
      </c>
      <c r="G20" s="60" t="str">
        <f>August!O39</f>
        <v>-</v>
      </c>
      <c r="H20" s="1"/>
    </row>
    <row r="21" ht="21.75" customHeight="1" spans="1:8" x14ac:dyDescent="0.25">
      <c r="A21" s="1"/>
      <c r="B21" s="52" t="s">
        <v>192</v>
      </c>
      <c r="C21" s="53">
        <f>September!B38</f>
        <v>0</v>
      </c>
      <c r="D21" s="53">
        <f>September!D38</f>
        <v>0</v>
      </c>
      <c r="E21" s="54">
        <f>September!L38</f>
        <v>0</v>
      </c>
      <c r="F21" s="55" t="str">
        <f>September!M38</f>
        <v>-</v>
      </c>
      <c r="G21" s="56" t="str">
        <f>September!O38</f>
        <v>-</v>
      </c>
      <c r="H21" s="1"/>
    </row>
    <row r="22" ht="21.75" customHeight="1" spans="1:8" x14ac:dyDescent="0.25">
      <c r="A22" s="1"/>
      <c r="B22" s="11" t="s">
        <v>193</v>
      </c>
      <c r="C22" s="57">
        <f>October!B39</f>
        <v>0</v>
      </c>
      <c r="D22" s="57">
        <f>October!D39</f>
        <v>0</v>
      </c>
      <c r="E22" s="58">
        <f>October!L39</f>
        <v>0</v>
      </c>
      <c r="F22" s="59" t="str">
        <f>October!M39</f>
        <v>-</v>
      </c>
      <c r="G22" s="60" t="str">
        <f>October!O39</f>
        <v>-</v>
      </c>
      <c r="H22" s="1"/>
    </row>
    <row r="23" ht="21.75" customHeight="1" spans="1:8" x14ac:dyDescent="0.25">
      <c r="A23" s="1"/>
      <c r="B23" s="52" t="s">
        <v>194</v>
      </c>
      <c r="C23" s="53">
        <f>November!B38</f>
        <v>0</v>
      </c>
      <c r="D23" s="53">
        <f>November!D38</f>
        <v>0</v>
      </c>
      <c r="E23" s="54">
        <f>November!L38</f>
        <v>0</v>
      </c>
      <c r="F23" s="55" t="str">
        <f>November!M38</f>
        <v>-</v>
      </c>
      <c r="G23" s="56" t="str">
        <f>November!O38</f>
        <v>-</v>
      </c>
      <c r="H23" s="1"/>
    </row>
    <row r="24" ht="21.75" customHeight="1" spans="1:8" x14ac:dyDescent="0.25">
      <c r="A24" s="1"/>
      <c r="B24" s="11" t="s">
        <v>195</v>
      </c>
      <c r="C24" s="57">
        <f>December!B39</f>
        <v>0</v>
      </c>
      <c r="D24" s="57">
        <f>December!D39</f>
        <v>0</v>
      </c>
      <c r="E24" s="58">
        <f>December!L39</f>
        <v>0</v>
      </c>
      <c r="F24" s="59" t="str">
        <f>December!M39</f>
        <v>-</v>
      </c>
      <c r="G24" s="60" t="str">
        <f>December!O39</f>
        <v>-</v>
      </c>
      <c r="H24" s="1"/>
    </row>
    <row r="25" ht="25.5" customHeight="1" spans="1:8" x14ac:dyDescent="0.25">
      <c r="A25" s="1"/>
      <c r="B25" s="61" t="s">
        <v>196</v>
      </c>
      <c r="C25" s="62">
        <f>January!B39+February!B36+March!B39+April!B38+May!B39+June!B38+July!B39+August!B39+September!B38+October!B39+November!B38+December!B39</f>
        <v>0</v>
      </c>
      <c r="D25" s="62">
        <f>January!D39+February!D36+March!D39+April!D38+May!D39+June!D38+July!D39+August!D39+September!D38+October!D39+November!D38+December!D39</f>
        <v>0</v>
      </c>
      <c r="E25" s="62">
        <f>January!L39+February!L36+March!L39+April!L38+May!L39+June!L38+July!L39+August!L39+September!L38+October!L39+November!L38+December!L39</f>
        <v>0</v>
      </c>
      <c r="F25" s="63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G25" s="64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  <c r="H25" s="1"/>
    </row>
    <row r="26" ht="19.5" customHeight="1" spans="1:8" x14ac:dyDescent="0.25">
      <c r="A26" s="1"/>
      <c r="B26" s="1"/>
      <c r="C26" s="1"/>
      <c r="D26" s="1"/>
      <c r="E26" s="1"/>
      <c r="F26" s="1"/>
      <c r="G26" s="1"/>
      <c r="H26" s="1"/>
    </row>
    <row r="27" ht="21.75" customHeight="1" spans="1:8" x14ac:dyDescent="0.25">
      <c r="A27" s="1"/>
      <c r="B27" s="29" t="s">
        <v>197</v>
      </c>
      <c r="C27" s="3"/>
      <c r="D27" s="3"/>
      <c r="E27" s="3"/>
      <c r="F27" s="3"/>
      <c r="G27" s="3"/>
      <c r="H27" s="1"/>
    </row>
    <row r="28" ht="19.5" customHeight="1" spans="1:8" x14ac:dyDescent="0.25">
      <c r="A28" s="1"/>
      <c r="B28" s="1"/>
      <c r="C28" s="1"/>
      <c r="D28" s="1"/>
      <c r="E28" s="1"/>
      <c r="F28" s="1"/>
      <c r="G28" s="1"/>
      <c r="H28" s="1"/>
    </row>
    <row r="29" ht="19.5" customHeight="1" spans="1:8" x14ac:dyDescent="0.25">
      <c r="A29" s="1"/>
      <c r="B29" s="1"/>
      <c r="C29" s="1"/>
      <c r="D29" s="1"/>
      <c r="E29" s="1"/>
      <c r="F29" s="1"/>
      <c r="G29" s="1"/>
      <c r="H29" s="1"/>
    </row>
    <row r="30" ht="19.5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ht="19.5" customHeight="1" spans="1:8" x14ac:dyDescent="0.25">
      <c r="A31" s="1"/>
      <c r="B31" s="1"/>
      <c r="C31" s="1"/>
      <c r="D31" s="1"/>
      <c r="E31" s="1"/>
      <c r="F31" s="1"/>
      <c r="G31" s="1"/>
      <c r="H31" s="1"/>
    </row>
    <row r="32" ht="19.5" customHeight="1" spans="1:8" x14ac:dyDescent="0.25">
      <c r="A32" s="1"/>
      <c r="B32" s="1"/>
      <c r="C32" s="1"/>
      <c r="D32" s="1"/>
      <c r="E32" s="1"/>
      <c r="F32" s="1"/>
      <c r="G32" s="1"/>
      <c r="H32" s="1"/>
    </row>
    <row r="33" ht="19.5" customHeight="1" spans="1:8" x14ac:dyDescent="0.25">
      <c r="A33" s="1"/>
      <c r="B33" s="1"/>
      <c r="C33" s="1"/>
      <c r="D33" s="1"/>
      <c r="E33" s="1"/>
      <c r="F33" s="1"/>
      <c r="G33" s="1"/>
      <c r="H33" s="1"/>
    </row>
    <row r="34" ht="19.5" customHeight="1" spans="1:8" x14ac:dyDescent="0.25">
      <c r="A34" s="1"/>
      <c r="B34" s="1"/>
      <c r="C34" s="1"/>
      <c r="D34" s="1"/>
      <c r="E34" s="1"/>
      <c r="F34" s="1"/>
      <c r="G34" s="1"/>
      <c r="H34" s="1"/>
    </row>
    <row r="35" ht="19.5" customHeight="1" spans="1:8" x14ac:dyDescent="0.25">
      <c r="A35" s="1"/>
      <c r="B35" s="1"/>
      <c r="C35" s="1"/>
      <c r="D35" s="1"/>
      <c r="E35" s="1"/>
      <c r="F35" s="1"/>
      <c r="G35" s="1"/>
      <c r="H35" s="1"/>
    </row>
    <row r="36" ht="19.5" customHeight="1" spans="1:8" x14ac:dyDescent="0.25">
      <c r="A36" s="1"/>
      <c r="B36" s="1"/>
      <c r="C36" s="1"/>
      <c r="D36" s="1"/>
      <c r="E36" s="1"/>
      <c r="F36" s="1"/>
      <c r="G36" s="1"/>
      <c r="H36" s="1"/>
    </row>
    <row r="37" ht="19.5" customHeight="1" spans="1:8" x14ac:dyDescent="0.25">
      <c r="A37" s="1"/>
      <c r="B37" s="1"/>
      <c r="C37" s="1"/>
      <c r="D37" s="1"/>
      <c r="E37" s="1"/>
      <c r="F37" s="1"/>
      <c r="G37" s="1"/>
      <c r="H37" s="1"/>
    </row>
    <row r="38" ht="19.5" customHeight="1" spans="1:8" x14ac:dyDescent="0.25">
      <c r="A38" s="1"/>
      <c r="B38" s="1"/>
      <c r="C38" s="1"/>
      <c r="D38" s="1"/>
      <c r="E38" s="1"/>
      <c r="F38" s="1"/>
      <c r="G38" s="1"/>
      <c r="H38" s="1"/>
    </row>
    <row r="39" ht="19.5" customHeight="1" spans="1:8" x14ac:dyDescent="0.25">
      <c r="A39" s="1"/>
      <c r="B39" s="1"/>
      <c r="C39" s="1"/>
      <c r="D39" s="1"/>
      <c r="E39" s="1"/>
      <c r="F39" s="1"/>
      <c r="G39" s="1"/>
      <c r="H39" s="1"/>
    </row>
    <row r="40" ht="19.5" customHeight="1" spans="1:8" x14ac:dyDescent="0.25">
      <c r="A40" s="1"/>
      <c r="B40" s="1"/>
      <c r="C40" s="1"/>
      <c r="D40" s="1"/>
      <c r="E40" s="1"/>
      <c r="F40" s="1"/>
      <c r="G40" s="1"/>
      <c r="H40" s="1"/>
    </row>
    <row r="41" ht="19.5" customHeight="1" spans="1:8" x14ac:dyDescent="0.25">
      <c r="A41" s="1"/>
      <c r="B41" s="1"/>
      <c r="C41" s="1"/>
      <c r="D41" s="1"/>
      <c r="E41" s="1"/>
      <c r="F41" s="1"/>
      <c r="G41" s="1"/>
      <c r="H41" s="1"/>
    </row>
    <row r="42" ht="19.5" customHeight="1" spans="1:8" x14ac:dyDescent="0.25">
      <c r="A42" s="1"/>
      <c r="B42" s="1"/>
      <c r="C42" s="1"/>
      <c r="D42" s="1"/>
      <c r="E42" s="1"/>
      <c r="F42" s="1"/>
      <c r="G42" s="1"/>
      <c r="H42" s="1"/>
    </row>
    <row r="43" ht="19.5" customHeight="1" spans="1:8" x14ac:dyDescent="0.25">
      <c r="A43" s="1"/>
      <c r="B43" s="1"/>
      <c r="C43" s="1"/>
      <c r="D43" s="1"/>
      <c r="E43" s="1"/>
      <c r="F43" s="1"/>
      <c r="G43" s="1"/>
      <c r="H43" s="1"/>
    </row>
    <row r="44" ht="19.5" customHeight="1" spans="1:8" x14ac:dyDescent="0.25">
      <c r="A44" s="1"/>
      <c r="B44" s="1"/>
      <c r="C44" s="1"/>
      <c r="D44" s="1"/>
      <c r="E44" s="1"/>
      <c r="F44" s="1"/>
      <c r="G44" s="1"/>
      <c r="H44" s="1"/>
    </row>
    <row r="45" ht="19.5" customHeight="1" spans="1:8" x14ac:dyDescent="0.25">
      <c r="A45" s="1"/>
      <c r="B45" s="1"/>
      <c r="C45" s="1"/>
      <c r="D45" s="1"/>
      <c r="E45" s="1"/>
      <c r="F45" s="1"/>
      <c r="G45" s="1"/>
      <c r="H45" s="1"/>
    </row>
    <row r="46" ht="19.5" customHeight="1" spans="1:8" x14ac:dyDescent="0.25">
      <c r="A46" s="1"/>
      <c r="B46" s="1"/>
      <c r="C46" s="1"/>
      <c r="D46" s="1"/>
      <c r="E46" s="1"/>
      <c r="F46" s="1"/>
      <c r="G46" s="1"/>
      <c r="H46" s="1"/>
    </row>
    <row r="47" ht="19.5" customHeight="1" spans="1:8" x14ac:dyDescent="0.25">
      <c r="A47" s="1"/>
      <c r="B47" s="1"/>
      <c r="C47" s="1"/>
      <c r="D47" s="1"/>
      <c r="E47" s="1"/>
      <c r="F47" s="1"/>
      <c r="G47" s="1"/>
      <c r="H47" s="1"/>
    </row>
    <row r="48" ht="19.5" customHeight="1" spans="1:8" x14ac:dyDescent="0.25">
      <c r="A48" s="1"/>
      <c r="B48" s="1"/>
      <c r="C48" s="1"/>
      <c r="D48" s="1"/>
      <c r="E48" s="1"/>
      <c r="F48" s="1"/>
      <c r="G48" s="1"/>
      <c r="H48" s="1"/>
    </row>
    <row r="49" ht="19.5" customHeight="1" spans="1:8" x14ac:dyDescent="0.25">
      <c r="A49" s="1"/>
      <c r="B49" s="1"/>
      <c r="C49" s="1"/>
      <c r="D49" s="1"/>
      <c r="E49" s="1"/>
      <c r="F49" s="1"/>
      <c r="G49" s="1"/>
      <c r="H49" s="1"/>
    </row>
    <row r="50" ht="19.5" customHeight="1" spans="1:8" x14ac:dyDescent="0.25">
      <c r="A50" s="1"/>
      <c r="B50" s="1"/>
      <c r="C50" s="1"/>
      <c r="D50" s="1"/>
      <c r="E50" s="1"/>
      <c r="F50" s="1"/>
      <c r="G50" s="1"/>
      <c r="H50" s="1"/>
    </row>
    <row r="51" ht="19.5" customHeight="1" spans="1:8" x14ac:dyDescent="0.25">
      <c r="A51" s="1"/>
      <c r="B51" s="1"/>
      <c r="C51" s="1"/>
      <c r="D51" s="1"/>
      <c r="E51" s="1"/>
      <c r="F51" s="1"/>
      <c r="G51" s="1"/>
      <c r="H51" s="1"/>
    </row>
    <row r="52" ht="19.5" customHeight="1" spans="1:8" x14ac:dyDescent="0.25">
      <c r="A52" s="1"/>
      <c r="B52" s="1"/>
      <c r="C52" s="1"/>
      <c r="D52" s="1"/>
      <c r="E52" s="1"/>
      <c r="F52" s="1"/>
      <c r="G52" s="1"/>
      <c r="H52" s="1"/>
    </row>
    <row r="53" ht="19.5" customHeight="1" spans="1:8" x14ac:dyDescent="0.25">
      <c r="A53" s="1"/>
      <c r="B53" s="1"/>
      <c r="C53" s="1"/>
      <c r="D53" s="1"/>
      <c r="E53" s="1"/>
      <c r="F53" s="1"/>
      <c r="G53" s="1"/>
      <c r="H53" s="1"/>
    </row>
    <row r="54" ht="19.5" customHeight="1" spans="1:8" x14ac:dyDescent="0.25">
      <c r="A54" s="1"/>
      <c r="B54" s="1"/>
      <c r="C54" s="1"/>
      <c r="D54" s="1"/>
      <c r="E54" s="1"/>
      <c r="F54" s="1"/>
      <c r="G54" s="1"/>
      <c r="H54" s="1"/>
    </row>
    <row r="55" ht="19.5" customHeight="1" spans="1:8" x14ac:dyDescent="0.25">
      <c r="A55" s="1"/>
      <c r="B55" s="1"/>
      <c r="C55" s="1"/>
      <c r="D55" s="1"/>
      <c r="E55" s="1"/>
      <c r="F55" s="1"/>
      <c r="G55" s="1"/>
      <c r="H55" s="1"/>
    </row>
    <row r="56" ht="19.5" customHeight="1" spans="1:8" x14ac:dyDescent="0.25">
      <c r="A56" s="1"/>
      <c r="B56" s="1"/>
      <c r="C56" s="1"/>
      <c r="D56" s="1"/>
      <c r="E56" s="1"/>
      <c r="F56" s="1"/>
      <c r="G56" s="1"/>
      <c r="H56" s="1"/>
    </row>
    <row r="57" ht="19.5" customHeight="1" spans="1:8" x14ac:dyDescent="0.25">
      <c r="A57" s="1"/>
      <c r="B57" s="1"/>
      <c r="C57" s="1"/>
      <c r="D57" s="1"/>
      <c r="E57" s="1"/>
      <c r="F57" s="1"/>
      <c r="G57" s="1"/>
      <c r="H57" s="1"/>
    </row>
    <row r="58" ht="19.5" customHeight="1" spans="1:8" x14ac:dyDescent="0.25">
      <c r="A58" s="1"/>
      <c r="B58" s="1"/>
      <c r="C58" s="1"/>
      <c r="D58" s="1"/>
      <c r="E58" s="1"/>
      <c r="F58" s="1"/>
      <c r="G58" s="1"/>
      <c r="H58" s="1"/>
    </row>
    <row r="59" ht="19.5" customHeight="1" spans="1:8" x14ac:dyDescent="0.25">
      <c r="A59" s="1"/>
      <c r="B59" s="1"/>
      <c r="C59" s="1"/>
      <c r="D59" s="1"/>
      <c r="E59" s="1"/>
      <c r="F59" s="1"/>
      <c r="G59" s="1"/>
      <c r="H59" s="1"/>
    </row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F2"/>
    <mergeCell ref="B5:G5"/>
    <mergeCell ref="B11:G11"/>
    <mergeCell ref="B27:G27"/>
  </mergeCells>
  <conditionalFormatting sqref="D8">
    <cfRule type="cellIs" dxfId="0" priority="1" operator="lessThan">
      <formula>0</formula>
    </cfRule>
  </conditionalFormatting>
  <conditionalFormatting sqref="D8">
    <cfRule type="cellIs" dxfId="1" priority="2" operator="greaterThan">
      <formula>0</formula>
    </cfRule>
  </conditionalFormatting>
  <conditionalFormatting sqref="E13">
    <cfRule type="cellIs" dxfId="2" priority="3" operator="lessThan">
      <formula>0</formula>
    </cfRule>
  </conditionalFormatting>
  <conditionalFormatting sqref="E13">
    <cfRule type="cellIs" dxfId="3" priority="4" operator="greaterThan">
      <formula>0</formula>
    </cfRule>
  </conditionalFormatting>
  <conditionalFormatting sqref="F13">
    <cfRule type="cellIs" dxfId="4" priority="5" operator="lessThan">
      <formula>0</formula>
    </cfRule>
  </conditionalFormatting>
  <conditionalFormatting sqref="F13">
    <cfRule type="cellIs" dxfId="5" priority="6" operator="between">
      <formula>0</formula>
      <formula>0.15</formula>
    </cfRule>
  </conditionalFormatting>
  <conditionalFormatting sqref="F13">
    <cfRule type="cellIs" dxfId="6" priority="7" operator="greaterThan">
      <formula>0.15</formula>
    </cfRule>
  </conditionalFormatting>
  <conditionalFormatting sqref="E14">
    <cfRule type="cellIs" dxfId="7" priority="8" operator="lessThan">
      <formula>0</formula>
    </cfRule>
  </conditionalFormatting>
  <conditionalFormatting sqref="E14">
    <cfRule type="cellIs" dxfId="8" priority="9" operator="greaterThan">
      <formula>0</formula>
    </cfRule>
  </conditionalFormatting>
  <conditionalFormatting sqref="F14">
    <cfRule type="cellIs" dxfId="9" priority="10" operator="lessThan">
      <formula>0</formula>
    </cfRule>
  </conditionalFormatting>
  <conditionalFormatting sqref="F14">
    <cfRule type="cellIs" dxfId="10" priority="11" operator="between">
      <formula>0</formula>
      <formula>0.15</formula>
    </cfRule>
  </conditionalFormatting>
  <conditionalFormatting sqref="F14">
    <cfRule type="cellIs" dxfId="11" priority="12" operator="greaterThan">
      <formula>0.15</formula>
    </cfRule>
  </conditionalFormatting>
  <conditionalFormatting sqref="E15">
    <cfRule type="cellIs" dxfId="12" priority="13" operator="lessThan">
      <formula>0</formula>
    </cfRule>
  </conditionalFormatting>
  <conditionalFormatting sqref="E15">
    <cfRule type="cellIs" dxfId="13" priority="14" operator="greaterThan">
      <formula>0</formula>
    </cfRule>
  </conditionalFormatting>
  <conditionalFormatting sqref="F15">
    <cfRule type="cellIs" dxfId="14" priority="15" operator="lessThan">
      <formula>0</formula>
    </cfRule>
  </conditionalFormatting>
  <conditionalFormatting sqref="F15">
    <cfRule type="cellIs" dxfId="15" priority="16" operator="between">
      <formula>0</formula>
      <formula>0.15</formula>
    </cfRule>
  </conditionalFormatting>
  <conditionalFormatting sqref="F15">
    <cfRule type="cellIs" dxfId="16" priority="17" operator="greaterThan">
      <formula>0.15</formula>
    </cfRule>
  </conditionalFormatting>
  <conditionalFormatting sqref="E16">
    <cfRule type="cellIs" dxfId="17" priority="18" operator="lessThan">
      <formula>0</formula>
    </cfRule>
  </conditionalFormatting>
  <conditionalFormatting sqref="E16">
    <cfRule type="cellIs" dxfId="18" priority="19" operator="greaterThan">
      <formula>0</formula>
    </cfRule>
  </conditionalFormatting>
  <conditionalFormatting sqref="F16">
    <cfRule type="cellIs" dxfId="19" priority="20" operator="lessThan">
      <formula>0</formula>
    </cfRule>
  </conditionalFormatting>
  <conditionalFormatting sqref="F16">
    <cfRule type="cellIs" dxfId="20" priority="21" operator="between">
      <formula>0</formula>
      <formula>0.15</formula>
    </cfRule>
  </conditionalFormatting>
  <conditionalFormatting sqref="F16">
    <cfRule type="cellIs" dxfId="21" priority="22" operator="greaterThan">
      <formula>0.15</formula>
    </cfRule>
  </conditionalFormatting>
  <conditionalFormatting sqref="E17">
    <cfRule type="cellIs" dxfId="22" priority="23" operator="lessThan">
      <formula>0</formula>
    </cfRule>
  </conditionalFormatting>
  <conditionalFormatting sqref="E17">
    <cfRule type="cellIs" dxfId="23" priority="24" operator="greaterThan">
      <formula>0</formula>
    </cfRule>
  </conditionalFormatting>
  <conditionalFormatting sqref="F17">
    <cfRule type="cellIs" dxfId="24" priority="25" operator="lessThan">
      <formula>0</formula>
    </cfRule>
  </conditionalFormatting>
  <conditionalFormatting sqref="F17">
    <cfRule type="cellIs" dxfId="25" priority="26" operator="between">
      <formula>0</formula>
      <formula>0.15</formula>
    </cfRule>
  </conditionalFormatting>
  <conditionalFormatting sqref="F17">
    <cfRule type="cellIs" dxfId="26" priority="27" operator="greaterThan">
      <formula>0.15</formula>
    </cfRule>
  </conditionalFormatting>
  <conditionalFormatting sqref="E18">
    <cfRule type="cellIs" dxfId="27" priority="28" operator="lessThan">
      <formula>0</formula>
    </cfRule>
  </conditionalFormatting>
  <conditionalFormatting sqref="E18">
    <cfRule type="cellIs" dxfId="28" priority="29" operator="greaterThan">
      <formula>0</formula>
    </cfRule>
  </conditionalFormatting>
  <conditionalFormatting sqref="F18">
    <cfRule type="cellIs" dxfId="29" priority="30" operator="lessThan">
      <formula>0</formula>
    </cfRule>
  </conditionalFormatting>
  <conditionalFormatting sqref="F18">
    <cfRule type="cellIs" dxfId="30" priority="31" operator="between">
      <formula>0</formula>
      <formula>0.15</formula>
    </cfRule>
  </conditionalFormatting>
  <conditionalFormatting sqref="F18">
    <cfRule type="cellIs" dxfId="31" priority="32" operator="greaterThan">
      <formula>0.15</formula>
    </cfRule>
  </conditionalFormatting>
  <conditionalFormatting sqref="E19">
    <cfRule type="cellIs" dxfId="32" priority="33" operator="lessThan">
      <formula>0</formula>
    </cfRule>
  </conditionalFormatting>
  <conditionalFormatting sqref="E19">
    <cfRule type="cellIs" dxfId="33" priority="34" operator="greaterThan">
      <formula>0</formula>
    </cfRule>
  </conditionalFormatting>
  <conditionalFormatting sqref="F19">
    <cfRule type="cellIs" dxfId="34" priority="35" operator="lessThan">
      <formula>0</formula>
    </cfRule>
  </conditionalFormatting>
  <conditionalFormatting sqref="F19">
    <cfRule type="cellIs" dxfId="35" priority="36" operator="between">
      <formula>0</formula>
      <formula>0.15</formula>
    </cfRule>
  </conditionalFormatting>
  <conditionalFormatting sqref="F19">
    <cfRule type="cellIs" dxfId="36" priority="37" operator="greaterThan">
      <formula>0.15</formula>
    </cfRule>
  </conditionalFormatting>
  <conditionalFormatting sqref="E20">
    <cfRule type="cellIs" dxfId="37" priority="38" operator="lessThan">
      <formula>0</formula>
    </cfRule>
  </conditionalFormatting>
  <conditionalFormatting sqref="E20">
    <cfRule type="cellIs" dxfId="38" priority="39" operator="greaterThan">
      <formula>0</formula>
    </cfRule>
  </conditionalFormatting>
  <conditionalFormatting sqref="F20">
    <cfRule type="cellIs" dxfId="39" priority="40" operator="lessThan">
      <formula>0</formula>
    </cfRule>
  </conditionalFormatting>
  <conditionalFormatting sqref="F20">
    <cfRule type="cellIs" dxfId="40" priority="41" operator="between">
      <formula>0</formula>
      <formula>0.15</formula>
    </cfRule>
  </conditionalFormatting>
  <conditionalFormatting sqref="F20">
    <cfRule type="cellIs" dxfId="41" priority="42" operator="greaterThan">
      <formula>0.15</formula>
    </cfRule>
  </conditionalFormatting>
  <conditionalFormatting sqref="E21">
    <cfRule type="cellIs" dxfId="42" priority="43" operator="lessThan">
      <formula>0</formula>
    </cfRule>
  </conditionalFormatting>
  <conditionalFormatting sqref="E21">
    <cfRule type="cellIs" dxfId="43" priority="44" operator="greaterThan">
      <formula>0</formula>
    </cfRule>
  </conditionalFormatting>
  <conditionalFormatting sqref="F21">
    <cfRule type="cellIs" dxfId="44" priority="45" operator="lessThan">
      <formula>0</formula>
    </cfRule>
  </conditionalFormatting>
  <conditionalFormatting sqref="F21">
    <cfRule type="cellIs" dxfId="45" priority="46" operator="between">
      <formula>0</formula>
      <formula>0.15</formula>
    </cfRule>
  </conditionalFormatting>
  <conditionalFormatting sqref="F21">
    <cfRule type="cellIs" dxfId="46" priority="47" operator="greaterThan">
      <formula>0.15</formula>
    </cfRule>
  </conditionalFormatting>
  <conditionalFormatting sqref="E22">
    <cfRule type="cellIs" dxfId="47" priority="48" operator="lessThan">
      <formula>0</formula>
    </cfRule>
  </conditionalFormatting>
  <conditionalFormatting sqref="E22">
    <cfRule type="cellIs" dxfId="48" priority="49" operator="greaterThan">
      <formula>0</formula>
    </cfRule>
  </conditionalFormatting>
  <conditionalFormatting sqref="F22">
    <cfRule type="cellIs" dxfId="49" priority="50" operator="lessThan">
      <formula>0</formula>
    </cfRule>
  </conditionalFormatting>
  <conditionalFormatting sqref="F22">
    <cfRule type="cellIs" dxfId="50" priority="51" operator="between">
      <formula>0</formula>
      <formula>0.15</formula>
    </cfRule>
  </conditionalFormatting>
  <conditionalFormatting sqref="F22">
    <cfRule type="cellIs" dxfId="51" priority="52" operator="greaterThan">
      <formula>0.15</formula>
    </cfRule>
  </conditionalFormatting>
  <conditionalFormatting sqref="E23">
    <cfRule type="cellIs" dxfId="52" priority="53" operator="lessThan">
      <formula>0</formula>
    </cfRule>
  </conditionalFormatting>
  <conditionalFormatting sqref="E23">
    <cfRule type="cellIs" dxfId="53" priority="54" operator="greaterThan">
      <formula>0</formula>
    </cfRule>
  </conditionalFormatting>
  <conditionalFormatting sqref="F23">
    <cfRule type="cellIs" dxfId="54" priority="55" operator="lessThan">
      <formula>0</formula>
    </cfRule>
  </conditionalFormatting>
  <conditionalFormatting sqref="F23">
    <cfRule type="cellIs" dxfId="55" priority="56" operator="between">
      <formula>0</formula>
      <formula>0.15</formula>
    </cfRule>
  </conditionalFormatting>
  <conditionalFormatting sqref="F23">
    <cfRule type="cellIs" dxfId="56" priority="57" operator="greaterThan">
      <formula>0.15</formula>
    </cfRule>
  </conditionalFormatting>
  <conditionalFormatting sqref="E24">
    <cfRule type="cellIs" dxfId="57" priority="58" operator="lessThan">
      <formula>0</formula>
    </cfRule>
  </conditionalFormatting>
  <conditionalFormatting sqref="E24">
    <cfRule type="cellIs" dxfId="58" priority="59" operator="greaterThan">
      <formula>0</formula>
    </cfRule>
  </conditionalFormatting>
  <conditionalFormatting sqref="F24">
    <cfRule type="cellIs" dxfId="59" priority="60" operator="lessThan">
      <formula>0</formula>
    </cfRule>
  </conditionalFormatting>
  <conditionalFormatting sqref="F24">
    <cfRule type="cellIs" dxfId="60" priority="61" operator="between">
      <formula>0</formula>
      <formula>0.15</formula>
    </cfRule>
  </conditionalFormatting>
  <conditionalFormatting sqref="F24">
    <cfRule type="cellIs" dxfId="61" priority="62" operator="greaterThan">
      <formula>0.15</formula>
    </cfRule>
  </conditionalFormatting>
  <conditionalFormatting sqref="E25">
    <cfRule type="cellIs" dxfId="62" priority="63" operator="lessThan">
      <formula>0</formula>
    </cfRule>
  </conditionalFormatting>
  <conditionalFormatting sqref="E25">
    <cfRule type="cellIs" dxfId="63" priority="64" operator="greaterThan">
      <formula>0</formula>
    </cfRule>
  </conditionalFormatting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46023</v>
      </c>
      <c r="B8" s="86">
        <v>1234.56</v>
      </c>
      <c r="C8" s="87">
        <v>50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46024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46025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46026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46027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46028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46029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46030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46031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46032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46033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46034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46035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46036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46037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46038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46039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46040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46041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46042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46043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46044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46045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46046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46047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46048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46049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46050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46051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46052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46053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64" priority="1" operator="lessThan">
      <formula>0</formula>
    </cfRule>
  </conditionalFormatting>
  <conditionalFormatting sqref="L8:L38">
    <cfRule type="cellIs" dxfId="65" priority="2" operator="greaterThan">
      <formula>0</formula>
    </cfRule>
  </conditionalFormatting>
  <conditionalFormatting sqref="L39">
    <cfRule type="cellIs" dxfId="66" priority="3" operator="lessThan">
      <formula>0</formula>
    </cfRule>
  </conditionalFormatting>
  <conditionalFormatting sqref="L39">
    <cfRule type="cellIs" dxfId="67" priority="4" operator="greaterThan">
      <formula>0</formula>
    </cfRule>
  </conditionalFormatting>
  <conditionalFormatting sqref="P8:P38">
    <cfRule type="cellIs" dxfId="68" priority="5" operator="lessThan">
      <formula>0</formula>
    </cfRule>
  </conditionalFormatting>
  <conditionalFormatting sqref="P8:P38">
    <cfRule type="cellIs" dxfId="69" priority="6" operator="greaterThan">
      <formula>0</formula>
    </cfRule>
  </conditionalFormatting>
  <conditionalFormatting sqref="M8:M38">
    <cfRule type="cellIs" dxfId="70" priority="7" operator="lessThan">
      <formula>0</formula>
    </cfRule>
  </conditionalFormatting>
  <conditionalFormatting sqref="M8:M38">
    <cfRule type="cellIs" dxfId="71" priority="8" operator="between">
      <formula>0</formula>
      <formula>0.15</formula>
    </cfRule>
  </conditionalFormatting>
  <conditionalFormatting sqref="M8:M38">
    <cfRule type="cellIs" dxfId="72" priority="9" operator="greaterThan">
      <formula>0.15</formula>
    </cfRule>
  </conditionalFormatting>
  <conditionalFormatting sqref="M39">
    <cfRule type="cellIs" dxfId="73" priority="10" operator="lessThan">
      <formula>0</formula>
    </cfRule>
  </conditionalFormatting>
  <conditionalFormatting sqref="M39">
    <cfRule type="cellIs" dxfId="74" priority="11" operator="between">
      <formula>0</formula>
      <formula>0.15</formula>
    </cfRule>
  </conditionalFormatting>
  <conditionalFormatting sqref="M39">
    <cfRule type="cellIs" dxfId="75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46054</v>
      </c>
      <c r="B8" s="87">
        <v>0</v>
      </c>
      <c r="C8" s="87">
        <v>0</v>
      </c>
      <c r="D8" s="53">
        <f t="shared" ref="D8:D35" si="0">B8-C8</f>
        <v>0</v>
      </c>
      <c r="E8" s="87">
        <v>0</v>
      </c>
      <c r="F8" s="87">
        <v>0</v>
      </c>
      <c r="G8" s="87">
        <v>0</v>
      </c>
      <c r="H8" s="88">
        <f t="shared" ref="H8:H35" si="1">F8*$A$5</f>
        <v>0</v>
      </c>
      <c r="I8" s="88">
        <f t="shared" ref="I8:I35" si="2">G8*$D$5</f>
        <v>0</v>
      </c>
      <c r="J8" s="88">
        <f t="shared" ref="J8:J35" si="3">B8*$G$5</f>
        <v>0</v>
      </c>
      <c r="K8" s="89">
        <f t="shared" ref="K8:K35" si="4">E8+F8+G8+H8+I8+J8</f>
        <v>0</v>
      </c>
      <c r="L8" s="54">
        <f t="shared" ref="L8:L35" si="5">D8-K8</f>
        <v>0</v>
      </c>
      <c r="M8" s="90" t="str">
        <f t="shared" ref="M8:M36" si="6">IF(D8=0,"-",L8/D8)</f>
        <v>-</v>
      </c>
      <c r="N8" s="91" t="str">
        <f t="shared" ref="N8:N36" si="7">IF(D8=0,"-",E8/D8)</f>
        <v>-</v>
      </c>
      <c r="O8" s="92" t="str">
        <f t="shared" ref="O8:O36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46055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5" si="9">P8+L9</f>
        <v>0</v>
      </c>
      <c r="Q9" s="93"/>
    </row>
    <row r="10" ht="21.75" customHeight="1" spans="1:17" x14ac:dyDescent="0.25">
      <c r="A10" s="85">
        <v>46056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46057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46058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46059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46060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46061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46062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46063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46064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46065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46066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46067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46068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46069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46070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46071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46072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46073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46074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46075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46076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46077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46078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46079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46080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46081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7.75" customHeight="1" spans="1:17" x14ac:dyDescent="0.25">
      <c r="A36" s="94" t="s">
        <v>212</v>
      </c>
      <c r="B36" s="62">
        <f t="shared" ref="B36:L36" si="10">SUM(B8:B35)</f>
        <v>0</v>
      </c>
      <c r="C36" s="62">
        <f t="shared" si="10"/>
        <v>0</v>
      </c>
      <c r="D36" s="62">
        <f t="shared" si="10"/>
        <v>0</v>
      </c>
      <c r="E36" s="62">
        <f t="shared" si="10"/>
        <v>0</v>
      </c>
      <c r="F36" s="62">
        <f t="shared" si="10"/>
        <v>0</v>
      </c>
      <c r="G36" s="62">
        <f t="shared" si="10"/>
        <v>0</v>
      </c>
      <c r="H36" s="62">
        <f t="shared" si="10"/>
        <v>0</v>
      </c>
      <c r="I36" s="62">
        <f t="shared" si="10"/>
        <v>0</v>
      </c>
      <c r="J36" s="62">
        <f t="shared" si="10"/>
        <v>0</v>
      </c>
      <c r="K36" s="95">
        <f t="shared" si="10"/>
        <v>0</v>
      </c>
      <c r="L36" s="62">
        <f t="shared" si="10"/>
        <v>0</v>
      </c>
      <c r="M36" s="63" t="str">
        <f t="shared" si="6"/>
        <v>-</v>
      </c>
      <c r="N36" s="96" t="str">
        <f t="shared" si="7"/>
        <v>-</v>
      </c>
      <c r="O36" s="64" t="str">
        <f t="shared" si="8"/>
        <v>-</v>
      </c>
      <c r="P36" s="62">
        <f>L36</f>
        <v>0</v>
      </c>
      <c r="Q36" s="1"/>
    </row>
    <row r="37" ht="19.5" customHeight="1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9.5" customHeight="1" spans="1:17" x14ac:dyDescent="0.25">
      <c r="A38" s="97" t="s">
        <v>213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9.5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38:Q38"/>
  </mergeCells>
  <conditionalFormatting sqref="L8:L35">
    <cfRule type="cellIs" dxfId="76" priority="1" operator="lessThan">
      <formula>0</formula>
    </cfRule>
  </conditionalFormatting>
  <conditionalFormatting sqref="L8:L35">
    <cfRule type="cellIs" dxfId="77" priority="2" operator="greaterThan">
      <formula>0</formula>
    </cfRule>
  </conditionalFormatting>
  <conditionalFormatting sqref="L36">
    <cfRule type="cellIs" dxfId="78" priority="3" operator="lessThan">
      <formula>0</formula>
    </cfRule>
  </conditionalFormatting>
  <conditionalFormatting sqref="L36">
    <cfRule type="cellIs" dxfId="79" priority="4" operator="greaterThan">
      <formula>0</formula>
    </cfRule>
  </conditionalFormatting>
  <conditionalFormatting sqref="P8:P35">
    <cfRule type="cellIs" dxfId="80" priority="5" operator="lessThan">
      <formula>0</formula>
    </cfRule>
  </conditionalFormatting>
  <conditionalFormatting sqref="P8:P35">
    <cfRule type="cellIs" dxfId="81" priority="6" operator="greaterThan">
      <formula>0</formula>
    </cfRule>
  </conditionalFormatting>
  <conditionalFormatting sqref="M8:M35">
    <cfRule type="cellIs" dxfId="82" priority="7" operator="lessThan">
      <formula>0</formula>
    </cfRule>
  </conditionalFormatting>
  <conditionalFormatting sqref="M8:M35">
    <cfRule type="cellIs" dxfId="83" priority="8" operator="between">
      <formula>0</formula>
      <formula>0.15</formula>
    </cfRule>
  </conditionalFormatting>
  <conditionalFormatting sqref="M8:M35">
    <cfRule type="cellIs" dxfId="84" priority="9" operator="greaterThan">
      <formula>0.15</formula>
    </cfRule>
  </conditionalFormatting>
  <conditionalFormatting sqref="M36">
    <cfRule type="cellIs" dxfId="85" priority="10" operator="lessThan">
      <formula>0</formula>
    </cfRule>
  </conditionalFormatting>
  <conditionalFormatting sqref="M36">
    <cfRule type="cellIs" dxfId="86" priority="11" operator="between">
      <formula>0</formula>
      <formula>0.15</formula>
    </cfRule>
  </conditionalFormatting>
  <conditionalFormatting sqref="M36">
    <cfRule type="cellIs" dxfId="87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5">
      <formula1>0</formula1>
    </dataValidation>
    <dataValidation type="decimal" operator="greaterThanOrEqual" allowBlank="1" showInputMessage="1" prompt="Enter value - Enter a positive number (≥ 0)" showErrorMessage="1" sqref="B8:C35">
      <formula1>0</formula1>
    </dataValidation>
    <dataValidation type="decimal" operator="greaterThanOrEqual" allowBlank="1" showInputMessage="1" prompt="Enter value - Enter a positive number (≥ 0)" showErrorMessage="1" sqref="E10:G35">
      <formula1>0</formula1>
    </dataValidation>
    <dataValidation type="decimal" operator="greaterThanOrEqual" allowBlank="1" showInputMessage="1" prompt="Enter value - Enter a positive number (≥ 0)" showErrorMessage="1" sqref="E8:G35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46082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46083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46084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46085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46086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46087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46088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46089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46090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46091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46092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46093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46094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46095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46096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46097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46098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46099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46100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46101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46102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46103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46104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46105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46106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46107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46108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46109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46110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46111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46112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88" priority="1" operator="lessThan">
      <formula>0</formula>
    </cfRule>
  </conditionalFormatting>
  <conditionalFormatting sqref="L8:L38">
    <cfRule type="cellIs" dxfId="89" priority="2" operator="greaterThan">
      <formula>0</formula>
    </cfRule>
  </conditionalFormatting>
  <conditionalFormatting sqref="L39">
    <cfRule type="cellIs" dxfId="90" priority="3" operator="lessThan">
      <formula>0</formula>
    </cfRule>
  </conditionalFormatting>
  <conditionalFormatting sqref="L39">
    <cfRule type="cellIs" dxfId="91" priority="4" operator="greaterThan">
      <formula>0</formula>
    </cfRule>
  </conditionalFormatting>
  <conditionalFormatting sqref="P8:P38">
    <cfRule type="cellIs" dxfId="92" priority="5" operator="lessThan">
      <formula>0</formula>
    </cfRule>
  </conditionalFormatting>
  <conditionalFormatting sqref="P8:P38">
    <cfRule type="cellIs" dxfId="93" priority="6" operator="greaterThan">
      <formula>0</formula>
    </cfRule>
  </conditionalFormatting>
  <conditionalFormatting sqref="M8:M38">
    <cfRule type="cellIs" dxfId="94" priority="7" operator="lessThan">
      <formula>0</formula>
    </cfRule>
  </conditionalFormatting>
  <conditionalFormatting sqref="M8:M38">
    <cfRule type="cellIs" dxfId="95" priority="8" operator="between">
      <formula>0</formula>
      <formula>0.15</formula>
    </cfRule>
  </conditionalFormatting>
  <conditionalFormatting sqref="M8:M38">
    <cfRule type="cellIs" dxfId="96" priority="9" operator="greaterThan">
      <formula>0.15</formula>
    </cfRule>
  </conditionalFormatting>
  <conditionalFormatting sqref="M39">
    <cfRule type="cellIs" dxfId="97" priority="10" operator="lessThan">
      <formula>0</formula>
    </cfRule>
  </conditionalFormatting>
  <conditionalFormatting sqref="M39">
    <cfRule type="cellIs" dxfId="98" priority="11" operator="between">
      <formula>0</formula>
      <formula>0.15</formula>
    </cfRule>
  </conditionalFormatting>
  <conditionalFormatting sqref="M39">
    <cfRule type="cellIs" dxfId="99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46113</v>
      </c>
      <c r="B8" s="87">
        <v>0</v>
      </c>
      <c r="C8" s="87">
        <v>0</v>
      </c>
      <c r="D8" s="53">
        <f t="shared" ref="D8:D37" si="0">B8-C8</f>
        <v>0</v>
      </c>
      <c r="E8" s="87">
        <v>0</v>
      </c>
      <c r="F8" s="87">
        <v>0</v>
      </c>
      <c r="G8" s="87">
        <v>0</v>
      </c>
      <c r="H8" s="88">
        <f t="shared" ref="H8:H37" si="1">F8*$A$5</f>
        <v>0</v>
      </c>
      <c r="I8" s="88">
        <f t="shared" ref="I8:I37" si="2">G8*$D$5</f>
        <v>0</v>
      </c>
      <c r="J8" s="88">
        <f t="shared" ref="J8:J37" si="3">B8*$G$5</f>
        <v>0</v>
      </c>
      <c r="K8" s="89">
        <f t="shared" ref="K8:K37" si="4">E8+F8+G8+H8+I8+J8</f>
        <v>0</v>
      </c>
      <c r="L8" s="54">
        <f t="shared" ref="L8:L37" si="5">D8-K8</f>
        <v>0</v>
      </c>
      <c r="M8" s="90" t="str">
        <f t="shared" ref="M8:M38" si="6">IF(D8=0,"-",L8/D8)</f>
        <v>-</v>
      </c>
      <c r="N8" s="91" t="str">
        <f t="shared" ref="N8:N38" si="7">IF(D8=0,"-",E8/D8)</f>
        <v>-</v>
      </c>
      <c r="O8" s="92" t="str">
        <f t="shared" ref="O8:O38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46114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7" si="9">P8+L9</f>
        <v>0</v>
      </c>
      <c r="Q9" s="93"/>
    </row>
    <row r="10" ht="21.75" customHeight="1" spans="1:17" x14ac:dyDescent="0.25">
      <c r="A10" s="85">
        <v>46115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46116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46117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46118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46119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46120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46121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46122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46123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46124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46125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46126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46127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46128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46129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46130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46131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46132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46133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46134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46135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46136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46137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46138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46139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46140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46141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46142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7.75" customHeight="1" spans="1:17" x14ac:dyDescent="0.25">
      <c r="A38" s="94" t="s">
        <v>212</v>
      </c>
      <c r="B38" s="62">
        <f t="shared" ref="B38:L38" si="10">SUM(B8:B37)</f>
        <v>0</v>
      </c>
      <c r="C38" s="62">
        <f t="shared" si="10"/>
        <v>0</v>
      </c>
      <c r="D38" s="62">
        <f t="shared" si="10"/>
        <v>0</v>
      </c>
      <c r="E38" s="62">
        <f t="shared" si="10"/>
        <v>0</v>
      </c>
      <c r="F38" s="62">
        <f t="shared" si="10"/>
        <v>0</v>
      </c>
      <c r="G38" s="62">
        <f t="shared" si="10"/>
        <v>0</v>
      </c>
      <c r="H38" s="62">
        <f t="shared" si="10"/>
        <v>0</v>
      </c>
      <c r="I38" s="62">
        <f t="shared" si="10"/>
        <v>0</v>
      </c>
      <c r="J38" s="62">
        <f t="shared" si="10"/>
        <v>0</v>
      </c>
      <c r="K38" s="95">
        <f t="shared" si="10"/>
        <v>0</v>
      </c>
      <c r="L38" s="62">
        <f t="shared" si="10"/>
        <v>0</v>
      </c>
      <c r="M38" s="63" t="str">
        <f t="shared" si="6"/>
        <v>-</v>
      </c>
      <c r="N38" s="96" t="str">
        <f t="shared" si="7"/>
        <v>-</v>
      </c>
      <c r="O38" s="64" t="str">
        <f t="shared" si="8"/>
        <v>-</v>
      </c>
      <c r="P38" s="62">
        <f>L38</f>
        <v>0</v>
      </c>
      <c r="Q38" s="1"/>
    </row>
    <row r="39" ht="19.5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 spans="1:17" x14ac:dyDescent="0.25">
      <c r="A40" s="97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0:Q40"/>
  </mergeCells>
  <conditionalFormatting sqref="L8:L37">
    <cfRule type="cellIs" dxfId="100" priority="1" operator="lessThan">
      <formula>0</formula>
    </cfRule>
  </conditionalFormatting>
  <conditionalFormatting sqref="L8:L37">
    <cfRule type="cellIs" dxfId="101" priority="2" operator="greaterThan">
      <formula>0</formula>
    </cfRule>
  </conditionalFormatting>
  <conditionalFormatting sqref="L38">
    <cfRule type="cellIs" dxfId="102" priority="3" operator="lessThan">
      <formula>0</formula>
    </cfRule>
  </conditionalFormatting>
  <conditionalFormatting sqref="L38">
    <cfRule type="cellIs" dxfId="103" priority="4" operator="greaterThan">
      <formula>0</formula>
    </cfRule>
  </conditionalFormatting>
  <conditionalFormatting sqref="P8:P37">
    <cfRule type="cellIs" dxfId="104" priority="5" operator="lessThan">
      <formula>0</formula>
    </cfRule>
  </conditionalFormatting>
  <conditionalFormatting sqref="P8:P37">
    <cfRule type="cellIs" dxfId="105" priority="6" operator="greaterThan">
      <formula>0</formula>
    </cfRule>
  </conditionalFormatting>
  <conditionalFormatting sqref="M8:M37">
    <cfRule type="cellIs" dxfId="106" priority="7" operator="lessThan">
      <formula>0</formula>
    </cfRule>
  </conditionalFormatting>
  <conditionalFormatting sqref="M8:M37">
    <cfRule type="cellIs" dxfId="107" priority="8" operator="between">
      <formula>0</formula>
      <formula>0.15</formula>
    </cfRule>
  </conditionalFormatting>
  <conditionalFormatting sqref="M8:M37">
    <cfRule type="cellIs" dxfId="108" priority="9" operator="greaterThan">
      <formula>0.15</formula>
    </cfRule>
  </conditionalFormatting>
  <conditionalFormatting sqref="M38">
    <cfRule type="cellIs" dxfId="109" priority="10" operator="lessThan">
      <formula>0</formula>
    </cfRule>
  </conditionalFormatting>
  <conditionalFormatting sqref="M38">
    <cfRule type="cellIs" dxfId="110" priority="11" operator="between">
      <formula>0</formula>
      <formula>0.15</formula>
    </cfRule>
  </conditionalFormatting>
  <conditionalFormatting sqref="M38">
    <cfRule type="cellIs" dxfId="111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7">
      <formula1>0</formula1>
    </dataValidation>
    <dataValidation type="decimal" operator="greaterThanOrEqual" allowBlank="1" showInputMessage="1" prompt="Enter value - Enter a positive number (≥ 0)" showErrorMessage="1" sqref="B8:C37">
      <formula1>0</formula1>
    </dataValidation>
    <dataValidation type="decimal" operator="greaterThanOrEqual" allowBlank="1" showInputMessage="1" prompt="Enter value - Enter a positive number (≥ 0)" showErrorMessage="1" sqref="E10:G37">
      <formula1>0</formula1>
    </dataValidation>
    <dataValidation type="decimal" operator="greaterThanOrEqual" allowBlank="1" showInputMessage="1" prompt="Enter value - Enter a positive number (≥ 0)" showErrorMessage="1" sqref="E8:G37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46143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46144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46145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46146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46147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46148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46149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46150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46151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46152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46153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46154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46155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46156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46157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46158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46159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46160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46161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46162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46163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46164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46165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46166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46167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46168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46169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46170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46171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46172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46173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112" priority="1" operator="lessThan">
      <formula>0</formula>
    </cfRule>
  </conditionalFormatting>
  <conditionalFormatting sqref="L8:L38">
    <cfRule type="cellIs" dxfId="113" priority="2" operator="greaterThan">
      <formula>0</formula>
    </cfRule>
  </conditionalFormatting>
  <conditionalFormatting sqref="L39">
    <cfRule type="cellIs" dxfId="114" priority="3" operator="lessThan">
      <formula>0</formula>
    </cfRule>
  </conditionalFormatting>
  <conditionalFormatting sqref="L39">
    <cfRule type="cellIs" dxfId="115" priority="4" operator="greaterThan">
      <formula>0</formula>
    </cfRule>
  </conditionalFormatting>
  <conditionalFormatting sqref="P8:P38">
    <cfRule type="cellIs" dxfId="116" priority="5" operator="lessThan">
      <formula>0</formula>
    </cfRule>
  </conditionalFormatting>
  <conditionalFormatting sqref="P8:P38">
    <cfRule type="cellIs" dxfId="117" priority="6" operator="greaterThan">
      <formula>0</formula>
    </cfRule>
  </conditionalFormatting>
  <conditionalFormatting sqref="M8:M38">
    <cfRule type="cellIs" dxfId="118" priority="7" operator="lessThan">
      <formula>0</formula>
    </cfRule>
  </conditionalFormatting>
  <conditionalFormatting sqref="M8:M38">
    <cfRule type="cellIs" dxfId="119" priority="8" operator="between">
      <formula>0</formula>
      <formula>0.15</formula>
    </cfRule>
  </conditionalFormatting>
  <conditionalFormatting sqref="M8:M38">
    <cfRule type="cellIs" dxfId="120" priority="9" operator="greaterThan">
      <formula>0.15</formula>
    </cfRule>
  </conditionalFormatting>
  <conditionalFormatting sqref="M39">
    <cfRule type="cellIs" dxfId="121" priority="10" operator="lessThan">
      <formula>0</formula>
    </cfRule>
  </conditionalFormatting>
  <conditionalFormatting sqref="M39">
    <cfRule type="cellIs" dxfId="122" priority="11" operator="between">
      <formula>0</formula>
      <formula>0.15</formula>
    </cfRule>
  </conditionalFormatting>
  <conditionalFormatting sqref="M39">
    <cfRule type="cellIs" dxfId="123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46174</v>
      </c>
      <c r="B8" s="87">
        <v>0</v>
      </c>
      <c r="C8" s="87">
        <v>0</v>
      </c>
      <c r="D8" s="53">
        <f t="shared" ref="D8:D37" si="0">B8-C8</f>
        <v>0</v>
      </c>
      <c r="E8" s="87">
        <v>0</v>
      </c>
      <c r="F8" s="87">
        <v>0</v>
      </c>
      <c r="G8" s="87">
        <v>0</v>
      </c>
      <c r="H8" s="88">
        <f t="shared" ref="H8:H37" si="1">F8*$A$5</f>
        <v>0</v>
      </c>
      <c r="I8" s="88">
        <f t="shared" ref="I8:I37" si="2">G8*$D$5</f>
        <v>0</v>
      </c>
      <c r="J8" s="88">
        <f t="shared" ref="J8:J37" si="3">B8*$G$5</f>
        <v>0</v>
      </c>
      <c r="K8" s="89">
        <f t="shared" ref="K8:K37" si="4">E8+F8+G8+H8+I8+J8</f>
        <v>0</v>
      </c>
      <c r="L8" s="54">
        <f t="shared" ref="L8:L37" si="5">D8-K8</f>
        <v>0</v>
      </c>
      <c r="M8" s="90" t="str">
        <f t="shared" ref="M8:M38" si="6">IF(D8=0,"-",L8/D8)</f>
        <v>-</v>
      </c>
      <c r="N8" s="91" t="str">
        <f t="shared" ref="N8:N38" si="7">IF(D8=0,"-",E8/D8)</f>
        <v>-</v>
      </c>
      <c r="O8" s="92" t="str">
        <f t="shared" ref="O8:O38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46175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7" si="9">P8+L9</f>
        <v>0</v>
      </c>
      <c r="Q9" s="93"/>
    </row>
    <row r="10" ht="21.75" customHeight="1" spans="1:17" x14ac:dyDescent="0.25">
      <c r="A10" s="85">
        <v>46176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46177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46178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46179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46180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46181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46182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46183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46184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46185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46186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46187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46188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46189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46190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46191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46192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46193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46194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46195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46196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46197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46198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46199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46200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46201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46202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46203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7.75" customHeight="1" spans="1:17" x14ac:dyDescent="0.25">
      <c r="A38" s="94" t="s">
        <v>212</v>
      </c>
      <c r="B38" s="62">
        <f t="shared" ref="B38:L38" si="10">SUM(B8:B37)</f>
        <v>0</v>
      </c>
      <c r="C38" s="62">
        <f t="shared" si="10"/>
        <v>0</v>
      </c>
      <c r="D38" s="62">
        <f t="shared" si="10"/>
        <v>0</v>
      </c>
      <c r="E38" s="62">
        <f t="shared" si="10"/>
        <v>0</v>
      </c>
      <c r="F38" s="62">
        <f t="shared" si="10"/>
        <v>0</v>
      </c>
      <c r="G38" s="62">
        <f t="shared" si="10"/>
        <v>0</v>
      </c>
      <c r="H38" s="62">
        <f t="shared" si="10"/>
        <v>0</v>
      </c>
      <c r="I38" s="62">
        <f t="shared" si="10"/>
        <v>0</v>
      </c>
      <c r="J38" s="62">
        <f t="shared" si="10"/>
        <v>0</v>
      </c>
      <c r="K38" s="95">
        <f t="shared" si="10"/>
        <v>0</v>
      </c>
      <c r="L38" s="62">
        <f t="shared" si="10"/>
        <v>0</v>
      </c>
      <c r="M38" s="63" t="str">
        <f t="shared" si="6"/>
        <v>-</v>
      </c>
      <c r="N38" s="96" t="str">
        <f t="shared" si="7"/>
        <v>-</v>
      </c>
      <c r="O38" s="64" t="str">
        <f t="shared" si="8"/>
        <v>-</v>
      </c>
      <c r="P38" s="62">
        <f>L38</f>
        <v>0</v>
      </c>
      <c r="Q38" s="1"/>
    </row>
    <row r="39" ht="19.5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 spans="1:17" x14ac:dyDescent="0.25">
      <c r="A40" s="97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0:Q40"/>
  </mergeCells>
  <conditionalFormatting sqref="L8:L37">
    <cfRule type="cellIs" dxfId="124" priority="1" operator="lessThan">
      <formula>0</formula>
    </cfRule>
  </conditionalFormatting>
  <conditionalFormatting sqref="L8:L37">
    <cfRule type="cellIs" dxfId="125" priority="2" operator="greaterThan">
      <formula>0</formula>
    </cfRule>
  </conditionalFormatting>
  <conditionalFormatting sqref="L38">
    <cfRule type="cellIs" dxfId="126" priority="3" operator="lessThan">
      <formula>0</formula>
    </cfRule>
  </conditionalFormatting>
  <conditionalFormatting sqref="L38">
    <cfRule type="cellIs" dxfId="127" priority="4" operator="greaterThan">
      <formula>0</formula>
    </cfRule>
  </conditionalFormatting>
  <conditionalFormatting sqref="P8:P37">
    <cfRule type="cellIs" dxfId="128" priority="5" operator="lessThan">
      <formula>0</formula>
    </cfRule>
  </conditionalFormatting>
  <conditionalFormatting sqref="P8:P37">
    <cfRule type="cellIs" dxfId="129" priority="6" operator="greaterThan">
      <formula>0</formula>
    </cfRule>
  </conditionalFormatting>
  <conditionalFormatting sqref="M8:M37">
    <cfRule type="cellIs" dxfId="130" priority="7" operator="lessThan">
      <formula>0</formula>
    </cfRule>
  </conditionalFormatting>
  <conditionalFormatting sqref="M8:M37">
    <cfRule type="cellIs" dxfId="131" priority="8" operator="between">
      <formula>0</formula>
      <formula>0.15</formula>
    </cfRule>
  </conditionalFormatting>
  <conditionalFormatting sqref="M8:M37">
    <cfRule type="cellIs" dxfId="132" priority="9" operator="greaterThan">
      <formula>0.15</formula>
    </cfRule>
  </conditionalFormatting>
  <conditionalFormatting sqref="M38">
    <cfRule type="cellIs" dxfId="133" priority="10" operator="lessThan">
      <formula>0</formula>
    </cfRule>
  </conditionalFormatting>
  <conditionalFormatting sqref="M38">
    <cfRule type="cellIs" dxfId="134" priority="11" operator="between">
      <formula>0</formula>
      <formula>0.15</formula>
    </cfRule>
  </conditionalFormatting>
  <conditionalFormatting sqref="M38">
    <cfRule type="cellIs" dxfId="135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7">
      <formula1>0</formula1>
    </dataValidation>
    <dataValidation type="decimal" operator="greaterThanOrEqual" allowBlank="1" showInputMessage="1" prompt="Enter value - Enter a positive number (≥ 0)" showErrorMessage="1" sqref="B8:C37">
      <formula1>0</formula1>
    </dataValidation>
    <dataValidation type="decimal" operator="greaterThanOrEqual" allowBlank="1" showInputMessage="1" prompt="Enter value - Enter a positive number (≥ 0)" showErrorMessage="1" sqref="E10:G37">
      <formula1>0</formula1>
    </dataValidation>
    <dataValidation type="decimal" operator="greaterThanOrEqual" allowBlank="1" showInputMessage="1" prompt="Enter value - Enter a positive number (≥ 0)" showErrorMessage="1" sqref="E8:G37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46204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46205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46206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46207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46208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46209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46210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46211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46212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46213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46214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46215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46216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46217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46218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46219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46220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46221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46222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46223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46224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46225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46226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46227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46228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46229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46230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46231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46232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46233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46234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136" priority="1" operator="lessThan">
      <formula>0</formula>
    </cfRule>
  </conditionalFormatting>
  <conditionalFormatting sqref="L8:L38">
    <cfRule type="cellIs" dxfId="137" priority="2" operator="greaterThan">
      <formula>0</formula>
    </cfRule>
  </conditionalFormatting>
  <conditionalFormatting sqref="L39">
    <cfRule type="cellIs" dxfId="138" priority="3" operator="lessThan">
      <formula>0</formula>
    </cfRule>
  </conditionalFormatting>
  <conditionalFormatting sqref="L39">
    <cfRule type="cellIs" dxfId="139" priority="4" operator="greaterThan">
      <formula>0</formula>
    </cfRule>
  </conditionalFormatting>
  <conditionalFormatting sqref="P8:P38">
    <cfRule type="cellIs" dxfId="140" priority="5" operator="lessThan">
      <formula>0</formula>
    </cfRule>
  </conditionalFormatting>
  <conditionalFormatting sqref="P8:P38">
    <cfRule type="cellIs" dxfId="141" priority="6" operator="greaterThan">
      <formula>0</formula>
    </cfRule>
  </conditionalFormatting>
  <conditionalFormatting sqref="M8:M38">
    <cfRule type="cellIs" dxfId="142" priority="7" operator="lessThan">
      <formula>0</formula>
    </cfRule>
  </conditionalFormatting>
  <conditionalFormatting sqref="M8:M38">
    <cfRule type="cellIs" dxfId="143" priority="8" operator="between">
      <formula>0</formula>
      <formula>0.15</formula>
    </cfRule>
  </conditionalFormatting>
  <conditionalFormatting sqref="M8:M38">
    <cfRule type="cellIs" dxfId="144" priority="9" operator="greaterThan">
      <formula>0.15</formula>
    </cfRule>
  </conditionalFormatting>
  <conditionalFormatting sqref="M39">
    <cfRule type="cellIs" dxfId="145" priority="10" operator="lessThan">
      <formula>0</formula>
    </cfRule>
  </conditionalFormatting>
  <conditionalFormatting sqref="M39">
    <cfRule type="cellIs" dxfId="146" priority="11" operator="between">
      <formula>0</formula>
      <formula>0.15</formula>
    </cfRule>
  </conditionalFormatting>
  <conditionalFormatting sqref="M39">
    <cfRule type="cellIs" dxfId="147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46235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46236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46237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46238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46239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46240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46241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46242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46243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46244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46245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46246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46247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46248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46249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46250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46251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46252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46253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46254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46255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46256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46257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46258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46259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46260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46261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46262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46263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46264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46265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148" priority="1" operator="lessThan">
      <formula>0</formula>
    </cfRule>
  </conditionalFormatting>
  <conditionalFormatting sqref="L8:L38">
    <cfRule type="cellIs" dxfId="149" priority="2" operator="greaterThan">
      <formula>0</formula>
    </cfRule>
  </conditionalFormatting>
  <conditionalFormatting sqref="L39">
    <cfRule type="cellIs" dxfId="150" priority="3" operator="lessThan">
      <formula>0</formula>
    </cfRule>
  </conditionalFormatting>
  <conditionalFormatting sqref="L39">
    <cfRule type="cellIs" dxfId="151" priority="4" operator="greaterThan">
      <formula>0</formula>
    </cfRule>
  </conditionalFormatting>
  <conditionalFormatting sqref="P8:P38">
    <cfRule type="cellIs" dxfId="152" priority="5" operator="lessThan">
      <formula>0</formula>
    </cfRule>
  </conditionalFormatting>
  <conditionalFormatting sqref="P8:P38">
    <cfRule type="cellIs" dxfId="153" priority="6" operator="greaterThan">
      <formula>0</formula>
    </cfRule>
  </conditionalFormatting>
  <conditionalFormatting sqref="M8:M38">
    <cfRule type="cellIs" dxfId="154" priority="7" operator="lessThan">
      <formula>0</formula>
    </cfRule>
  </conditionalFormatting>
  <conditionalFormatting sqref="M8:M38">
    <cfRule type="cellIs" dxfId="155" priority="8" operator="between">
      <formula>0</formula>
      <formula>0.15</formula>
    </cfRule>
  </conditionalFormatting>
  <conditionalFormatting sqref="M8:M38">
    <cfRule type="cellIs" dxfId="156" priority="9" operator="greaterThan">
      <formula>0.15</formula>
    </cfRule>
  </conditionalFormatting>
  <conditionalFormatting sqref="M39">
    <cfRule type="cellIs" dxfId="157" priority="10" operator="lessThan">
      <formula>0</formula>
    </cfRule>
  </conditionalFormatting>
  <conditionalFormatting sqref="M39">
    <cfRule type="cellIs" dxfId="158" priority="11" operator="between">
      <formula>0</formula>
      <formula>0.15</formula>
    </cfRule>
  </conditionalFormatting>
  <conditionalFormatting sqref="M39">
    <cfRule type="cellIs" dxfId="159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46266</v>
      </c>
      <c r="B8" s="87">
        <v>0</v>
      </c>
      <c r="C8" s="87">
        <v>0</v>
      </c>
      <c r="D8" s="53">
        <f t="shared" ref="D8:D37" si="0">B8-C8</f>
        <v>0</v>
      </c>
      <c r="E8" s="87">
        <v>0</v>
      </c>
      <c r="F8" s="87">
        <v>0</v>
      </c>
      <c r="G8" s="87">
        <v>0</v>
      </c>
      <c r="H8" s="88">
        <f t="shared" ref="H8:H37" si="1">F8*$A$5</f>
        <v>0</v>
      </c>
      <c r="I8" s="88">
        <f t="shared" ref="I8:I37" si="2">G8*$D$5</f>
        <v>0</v>
      </c>
      <c r="J8" s="88">
        <f t="shared" ref="J8:J37" si="3">B8*$G$5</f>
        <v>0</v>
      </c>
      <c r="K8" s="89">
        <f t="shared" ref="K8:K37" si="4">E8+F8+G8+H8+I8+J8</f>
        <v>0</v>
      </c>
      <c r="L8" s="54">
        <f t="shared" ref="L8:L37" si="5">D8-K8</f>
        <v>0</v>
      </c>
      <c r="M8" s="90" t="str">
        <f t="shared" ref="M8:M38" si="6">IF(D8=0,"-",L8/D8)</f>
        <v>-</v>
      </c>
      <c r="N8" s="91" t="str">
        <f t="shared" ref="N8:N38" si="7">IF(D8=0,"-",E8/D8)</f>
        <v>-</v>
      </c>
      <c r="O8" s="92" t="str">
        <f t="shared" ref="O8:O38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46267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7" si="9">P8+L9</f>
        <v>0</v>
      </c>
      <c r="Q9" s="93"/>
    </row>
    <row r="10" ht="21.75" customHeight="1" spans="1:17" x14ac:dyDescent="0.25">
      <c r="A10" s="85">
        <v>46268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46269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46270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46271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46272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46273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46274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46275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46276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46277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46278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46279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46280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46281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46282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46283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46284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46285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46286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46287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46288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46289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46290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46291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46292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46293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46294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46295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7.75" customHeight="1" spans="1:17" x14ac:dyDescent="0.25">
      <c r="A38" s="94" t="s">
        <v>212</v>
      </c>
      <c r="B38" s="62">
        <f t="shared" ref="B38:L38" si="10">SUM(B8:B37)</f>
        <v>0</v>
      </c>
      <c r="C38" s="62">
        <f t="shared" si="10"/>
        <v>0</v>
      </c>
      <c r="D38" s="62">
        <f t="shared" si="10"/>
        <v>0</v>
      </c>
      <c r="E38" s="62">
        <f t="shared" si="10"/>
        <v>0</v>
      </c>
      <c r="F38" s="62">
        <f t="shared" si="10"/>
        <v>0</v>
      </c>
      <c r="G38" s="62">
        <f t="shared" si="10"/>
        <v>0</v>
      </c>
      <c r="H38" s="62">
        <f t="shared" si="10"/>
        <v>0</v>
      </c>
      <c r="I38" s="62">
        <f t="shared" si="10"/>
        <v>0</v>
      </c>
      <c r="J38" s="62">
        <f t="shared" si="10"/>
        <v>0</v>
      </c>
      <c r="K38" s="95">
        <f t="shared" si="10"/>
        <v>0</v>
      </c>
      <c r="L38" s="62">
        <f t="shared" si="10"/>
        <v>0</v>
      </c>
      <c r="M38" s="63" t="str">
        <f t="shared" si="6"/>
        <v>-</v>
      </c>
      <c r="N38" s="96" t="str">
        <f t="shared" si="7"/>
        <v>-</v>
      </c>
      <c r="O38" s="64" t="str">
        <f t="shared" si="8"/>
        <v>-</v>
      </c>
      <c r="P38" s="62">
        <f>L38</f>
        <v>0</v>
      </c>
      <c r="Q38" s="1"/>
    </row>
    <row r="39" ht="19.5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 spans="1:17" x14ac:dyDescent="0.25">
      <c r="A40" s="97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0:Q40"/>
  </mergeCells>
  <conditionalFormatting sqref="L8:L37">
    <cfRule type="cellIs" dxfId="160" priority="1" operator="lessThan">
      <formula>0</formula>
    </cfRule>
  </conditionalFormatting>
  <conditionalFormatting sqref="L8:L37">
    <cfRule type="cellIs" dxfId="161" priority="2" operator="greaterThan">
      <formula>0</formula>
    </cfRule>
  </conditionalFormatting>
  <conditionalFormatting sqref="L38">
    <cfRule type="cellIs" dxfId="162" priority="3" operator="lessThan">
      <formula>0</formula>
    </cfRule>
  </conditionalFormatting>
  <conditionalFormatting sqref="L38">
    <cfRule type="cellIs" dxfId="163" priority="4" operator="greaterThan">
      <formula>0</formula>
    </cfRule>
  </conditionalFormatting>
  <conditionalFormatting sqref="P8:P37">
    <cfRule type="cellIs" dxfId="164" priority="5" operator="lessThan">
      <formula>0</formula>
    </cfRule>
  </conditionalFormatting>
  <conditionalFormatting sqref="P8:P37">
    <cfRule type="cellIs" dxfId="165" priority="6" operator="greaterThan">
      <formula>0</formula>
    </cfRule>
  </conditionalFormatting>
  <conditionalFormatting sqref="M8:M37">
    <cfRule type="cellIs" dxfId="166" priority="7" operator="lessThan">
      <formula>0</formula>
    </cfRule>
  </conditionalFormatting>
  <conditionalFormatting sqref="M8:M37">
    <cfRule type="cellIs" dxfId="167" priority="8" operator="between">
      <formula>0</formula>
      <formula>0.15</formula>
    </cfRule>
  </conditionalFormatting>
  <conditionalFormatting sqref="M8:M37">
    <cfRule type="cellIs" dxfId="168" priority="9" operator="greaterThan">
      <formula>0.15</formula>
    </cfRule>
  </conditionalFormatting>
  <conditionalFormatting sqref="M38">
    <cfRule type="cellIs" dxfId="169" priority="10" operator="lessThan">
      <formula>0</formula>
    </cfRule>
  </conditionalFormatting>
  <conditionalFormatting sqref="M38">
    <cfRule type="cellIs" dxfId="170" priority="11" operator="between">
      <formula>0</formula>
      <formula>0.15</formula>
    </cfRule>
  </conditionalFormatting>
  <conditionalFormatting sqref="M38">
    <cfRule type="cellIs" dxfId="171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7">
      <formula1>0</formula1>
    </dataValidation>
    <dataValidation type="decimal" operator="greaterThanOrEqual" allowBlank="1" showInputMessage="1" prompt="Enter value - Enter a positive number (≥ 0)" showErrorMessage="1" sqref="B8:C37">
      <formula1>0</formula1>
    </dataValidation>
    <dataValidation type="decimal" operator="greaterThanOrEqual" allowBlank="1" showInputMessage="1" prompt="Enter value - Enter a positive number (≥ 0)" showErrorMessage="1" sqref="E10:G37">
      <formula1>0</formula1>
    </dataValidation>
    <dataValidation type="decimal" operator="greaterThanOrEqual" allowBlank="1" showInputMessage="1" prompt="Enter value - Enter a positive number (≥ 0)" showErrorMessage="1" sqref="E8:G37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46296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46297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46298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46299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46300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46301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46302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46303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46304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46305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46306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46307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46308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46309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46310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46311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46312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46313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46314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46315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46316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46317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46318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46319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46320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46321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46322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46323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46324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46325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46326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172" priority="1" operator="lessThan">
      <formula>0</formula>
    </cfRule>
  </conditionalFormatting>
  <conditionalFormatting sqref="L8:L38">
    <cfRule type="cellIs" dxfId="173" priority="2" operator="greaterThan">
      <formula>0</formula>
    </cfRule>
  </conditionalFormatting>
  <conditionalFormatting sqref="L39">
    <cfRule type="cellIs" dxfId="174" priority="3" operator="lessThan">
      <formula>0</formula>
    </cfRule>
  </conditionalFormatting>
  <conditionalFormatting sqref="L39">
    <cfRule type="cellIs" dxfId="175" priority="4" operator="greaterThan">
      <formula>0</formula>
    </cfRule>
  </conditionalFormatting>
  <conditionalFormatting sqref="P8:P38">
    <cfRule type="cellIs" dxfId="176" priority="5" operator="lessThan">
      <formula>0</formula>
    </cfRule>
  </conditionalFormatting>
  <conditionalFormatting sqref="P8:P38">
    <cfRule type="cellIs" dxfId="177" priority="6" operator="greaterThan">
      <formula>0</formula>
    </cfRule>
  </conditionalFormatting>
  <conditionalFormatting sqref="M8:M38">
    <cfRule type="cellIs" dxfId="178" priority="7" operator="lessThan">
      <formula>0</formula>
    </cfRule>
  </conditionalFormatting>
  <conditionalFormatting sqref="M8:M38">
    <cfRule type="cellIs" dxfId="179" priority="8" operator="between">
      <formula>0</formula>
      <formula>0.15</formula>
    </cfRule>
  </conditionalFormatting>
  <conditionalFormatting sqref="M8:M38">
    <cfRule type="cellIs" dxfId="180" priority="9" operator="greaterThan">
      <formula>0.15</formula>
    </cfRule>
  </conditionalFormatting>
  <conditionalFormatting sqref="M39">
    <cfRule type="cellIs" dxfId="181" priority="10" operator="lessThan">
      <formula>0</formula>
    </cfRule>
  </conditionalFormatting>
  <conditionalFormatting sqref="M39">
    <cfRule type="cellIs" dxfId="182" priority="11" operator="between">
      <formula>0</formula>
      <formula>0.15</formula>
    </cfRule>
  </conditionalFormatting>
  <conditionalFormatting sqref="M39">
    <cfRule type="cellIs" dxfId="183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46327</v>
      </c>
      <c r="B8" s="87">
        <v>0</v>
      </c>
      <c r="C8" s="87">
        <v>0</v>
      </c>
      <c r="D8" s="53">
        <f t="shared" ref="D8:D37" si="0">B8-C8</f>
        <v>0</v>
      </c>
      <c r="E8" s="87">
        <v>0</v>
      </c>
      <c r="F8" s="87">
        <v>0</v>
      </c>
      <c r="G8" s="87">
        <v>0</v>
      </c>
      <c r="H8" s="88">
        <f t="shared" ref="H8:H37" si="1">F8*$A$5</f>
        <v>0</v>
      </c>
      <c r="I8" s="88">
        <f t="shared" ref="I8:I37" si="2">G8*$D$5</f>
        <v>0</v>
      </c>
      <c r="J8" s="88">
        <f t="shared" ref="J8:J37" si="3">B8*$G$5</f>
        <v>0</v>
      </c>
      <c r="K8" s="89">
        <f t="shared" ref="K8:K37" si="4">E8+F8+G8+H8+I8+J8</f>
        <v>0</v>
      </c>
      <c r="L8" s="54">
        <f t="shared" ref="L8:L37" si="5">D8-K8</f>
        <v>0</v>
      </c>
      <c r="M8" s="90" t="str">
        <f t="shared" ref="M8:M38" si="6">IF(D8=0,"-",L8/D8)</f>
        <v>-</v>
      </c>
      <c r="N8" s="91" t="str">
        <f t="shared" ref="N8:N38" si="7">IF(D8=0,"-",E8/D8)</f>
        <v>-</v>
      </c>
      <c r="O8" s="92" t="str">
        <f t="shared" ref="O8:O38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46328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7" si="9">P8+L9</f>
        <v>0</v>
      </c>
      <c r="Q9" s="93"/>
    </row>
    <row r="10" ht="21.75" customHeight="1" spans="1:17" x14ac:dyDescent="0.25">
      <c r="A10" s="85">
        <v>46329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46330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46331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46332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46333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46334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46335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46336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46337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46338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46339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46340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46341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46342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46343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46344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46345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46346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46347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46348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46349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46350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46351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46352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46353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46354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46355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46356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7.75" customHeight="1" spans="1:17" x14ac:dyDescent="0.25">
      <c r="A38" s="94" t="s">
        <v>212</v>
      </c>
      <c r="B38" s="62">
        <f t="shared" ref="B38:L38" si="10">SUM(B8:B37)</f>
        <v>0</v>
      </c>
      <c r="C38" s="62">
        <f t="shared" si="10"/>
        <v>0</v>
      </c>
      <c r="D38" s="62">
        <f t="shared" si="10"/>
        <v>0</v>
      </c>
      <c r="E38" s="62">
        <f t="shared" si="10"/>
        <v>0</v>
      </c>
      <c r="F38" s="62">
        <f t="shared" si="10"/>
        <v>0</v>
      </c>
      <c r="G38" s="62">
        <f t="shared" si="10"/>
        <v>0</v>
      </c>
      <c r="H38" s="62">
        <f t="shared" si="10"/>
        <v>0</v>
      </c>
      <c r="I38" s="62">
        <f t="shared" si="10"/>
        <v>0</v>
      </c>
      <c r="J38" s="62">
        <f t="shared" si="10"/>
        <v>0</v>
      </c>
      <c r="K38" s="95">
        <f t="shared" si="10"/>
        <v>0</v>
      </c>
      <c r="L38" s="62">
        <f t="shared" si="10"/>
        <v>0</v>
      </c>
      <c r="M38" s="63" t="str">
        <f t="shared" si="6"/>
        <v>-</v>
      </c>
      <c r="N38" s="96" t="str">
        <f t="shared" si="7"/>
        <v>-</v>
      </c>
      <c r="O38" s="64" t="str">
        <f t="shared" si="8"/>
        <v>-</v>
      </c>
      <c r="P38" s="62">
        <f>L38</f>
        <v>0</v>
      </c>
      <c r="Q38" s="1"/>
    </row>
    <row r="39" ht="19.5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 spans="1:17" x14ac:dyDescent="0.25">
      <c r="A40" s="97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9.5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0:Q40"/>
  </mergeCells>
  <conditionalFormatting sqref="L8:L37">
    <cfRule type="cellIs" dxfId="184" priority="1" operator="lessThan">
      <formula>0</formula>
    </cfRule>
  </conditionalFormatting>
  <conditionalFormatting sqref="L8:L37">
    <cfRule type="cellIs" dxfId="185" priority="2" operator="greaterThan">
      <formula>0</formula>
    </cfRule>
  </conditionalFormatting>
  <conditionalFormatting sqref="L38">
    <cfRule type="cellIs" dxfId="186" priority="3" operator="lessThan">
      <formula>0</formula>
    </cfRule>
  </conditionalFormatting>
  <conditionalFormatting sqref="L38">
    <cfRule type="cellIs" dxfId="187" priority="4" operator="greaterThan">
      <formula>0</formula>
    </cfRule>
  </conditionalFormatting>
  <conditionalFormatting sqref="P8:P37">
    <cfRule type="cellIs" dxfId="188" priority="5" operator="lessThan">
      <formula>0</formula>
    </cfRule>
  </conditionalFormatting>
  <conditionalFormatting sqref="P8:P37">
    <cfRule type="cellIs" dxfId="189" priority="6" operator="greaterThan">
      <formula>0</formula>
    </cfRule>
  </conditionalFormatting>
  <conditionalFormatting sqref="M8:M37">
    <cfRule type="cellIs" dxfId="190" priority="7" operator="lessThan">
      <formula>0</formula>
    </cfRule>
  </conditionalFormatting>
  <conditionalFormatting sqref="M8:M37">
    <cfRule type="cellIs" dxfId="191" priority="8" operator="between">
      <formula>0</formula>
      <formula>0.15</formula>
    </cfRule>
  </conditionalFormatting>
  <conditionalFormatting sqref="M8:M37">
    <cfRule type="cellIs" dxfId="192" priority="9" operator="greaterThan">
      <formula>0.15</formula>
    </cfRule>
  </conditionalFormatting>
  <conditionalFormatting sqref="M38">
    <cfRule type="cellIs" dxfId="193" priority="10" operator="lessThan">
      <formula>0</formula>
    </cfRule>
  </conditionalFormatting>
  <conditionalFormatting sqref="M38">
    <cfRule type="cellIs" dxfId="194" priority="11" operator="between">
      <formula>0</formula>
      <formula>0.15</formula>
    </cfRule>
  </conditionalFormatting>
  <conditionalFormatting sqref="M38">
    <cfRule type="cellIs" dxfId="195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7">
      <formula1>0</formula1>
    </dataValidation>
    <dataValidation type="decimal" operator="greaterThanOrEqual" allowBlank="1" showInputMessage="1" prompt="Enter value - Enter a positive number (≥ 0)" showErrorMessage="1" sqref="B8:C37">
      <formula1>0</formula1>
    </dataValidation>
    <dataValidation type="decimal" operator="greaterThanOrEqual" allowBlank="1" showInputMessage="1" prompt="Enter value - Enter a positive number (≥ 0)" showErrorMessage="1" sqref="E10:G37">
      <formula1>0</formula1>
    </dataValidation>
    <dataValidation type="decimal" operator="greaterThanOrEqual" allowBlank="1" showInputMessage="1" prompt="Enter value - Enter a positive number (≥ 0)" showErrorMessage="1" sqref="E8:G37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showGridLines="0" zoomScale="100" zoomScaleNormal="100">
      <pane xSplit="1" ySplit="7" topLeftCell="B8" activePane="bottomRight" state="frozen"/>
      <selection pane="bottomRight" activeCell="B8" sqref="B8"/>
    </sheetView>
  </sheetViews>
  <sheetFormatPr defaultRowHeight="15" outlineLevelRow="0" outlineLevelCol="0" x14ac:dyDescent="0" defaultColWidth="14.43"/>
  <cols>
    <col min="1" max="1" width="11" customWidth="1"/>
    <col min="2" max="2" width="17" customWidth="1"/>
    <col min="3" max="3" width="14" customWidth="1"/>
    <col min="4" max="7" width="16" customWidth="1"/>
    <col min="8" max="10" width="15" customWidth="1"/>
    <col min="11" max="12" width="16" customWidth="1"/>
    <col min="13" max="13" width="13" customWidth="1"/>
    <col min="14" max="14" width="12" customWidth="1"/>
    <col min="15" max="15" width="11" customWidth="1"/>
    <col min="16" max="16" width="17" customWidth="1"/>
    <col min="17" max="17" width="30" customWidth="1"/>
    <col min="18" max="26" width="8.71" customWidth="1"/>
  </cols>
  <sheetData>
    <row r="1" ht="7.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 spans="1:17" x14ac:dyDescent="0.25">
      <c r="A2" s="23" t="s">
        <v>224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 t="str">
        <f>"Currency: "&amp;'⚙ Settings'!C6</f>
        <v>Currency: €</v>
      </c>
      <c r="O2" s="3"/>
      <c r="P2" s="3"/>
      <c r="Q2" s="3"/>
    </row>
    <row r="3" ht="3.75" customHeight="1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9.5" customHeight="1" spans="1:17" x14ac:dyDescent="0.25">
      <c r="A4" s="65" t="s">
        <v>58</v>
      </c>
      <c r="B4" s="66"/>
      <c r="C4" s="66"/>
      <c r="D4" s="67" t="s">
        <v>61</v>
      </c>
      <c r="E4" s="18"/>
      <c r="F4" s="18"/>
      <c r="G4" s="68" t="s">
        <v>64</v>
      </c>
      <c r="H4" s="69"/>
      <c r="I4" s="69"/>
      <c r="J4" s="70" t="s">
        <v>199</v>
      </c>
      <c r="K4" s="3"/>
      <c r="L4" s="3"/>
      <c r="M4" s="3"/>
      <c r="N4" s="3"/>
      <c r="O4" s="3"/>
      <c r="P4" s="3"/>
      <c r="Q4" s="3"/>
    </row>
    <row r="5" ht="27.75" customHeight="1" spans="1:17" x14ac:dyDescent="0.25">
      <c r="A5" s="71">
        <v>0.06</v>
      </c>
      <c r="B5" s="72"/>
      <c r="C5" s="72"/>
      <c r="D5" s="73">
        <v>0.1</v>
      </c>
      <c r="E5" s="74"/>
      <c r="F5" s="74"/>
      <c r="G5" s="75">
        <v>0.05</v>
      </c>
      <c r="H5" s="76"/>
      <c r="I5" s="76"/>
      <c r="J5" s="3"/>
      <c r="K5" s="3"/>
      <c r="L5" s="3"/>
      <c r="M5" s="3"/>
      <c r="N5" s="3"/>
      <c r="O5" s="3"/>
      <c r="P5" s="3"/>
      <c r="Q5" s="3"/>
    </row>
    <row r="6" ht="4.5" customHeight="1" spans="1:17" x14ac:dyDescent="0.25">
      <c r="A6" s="7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45.75" customHeight="1" spans="1:17" x14ac:dyDescent="0.25">
      <c r="A7" s="78" t="s">
        <v>37</v>
      </c>
      <c r="B7" s="79" t="s">
        <v>200</v>
      </c>
      <c r="C7" s="79" t="s">
        <v>43</v>
      </c>
      <c r="D7" s="80" t="s">
        <v>201</v>
      </c>
      <c r="E7" s="79" t="s">
        <v>202</v>
      </c>
      <c r="F7" s="79" t="s">
        <v>203</v>
      </c>
      <c r="G7" s="79" t="s">
        <v>204</v>
      </c>
      <c r="H7" s="81" t="s">
        <v>205</v>
      </c>
      <c r="I7" s="81" t="s">
        <v>206</v>
      </c>
      <c r="J7" s="81" t="s">
        <v>207</v>
      </c>
      <c r="K7" s="82" t="s">
        <v>208</v>
      </c>
      <c r="L7" s="80" t="s">
        <v>70</v>
      </c>
      <c r="M7" s="80" t="s">
        <v>209</v>
      </c>
      <c r="N7" s="81" t="s">
        <v>210</v>
      </c>
      <c r="O7" s="83" t="s">
        <v>79</v>
      </c>
      <c r="P7" s="80" t="s">
        <v>211</v>
      </c>
      <c r="Q7" s="84" t="s">
        <v>85</v>
      </c>
    </row>
    <row r="8" ht="21.75" customHeight="1" spans="1:17" x14ac:dyDescent="0.25">
      <c r="A8" s="85">
        <v>46357</v>
      </c>
      <c r="B8" s="87">
        <v>0</v>
      </c>
      <c r="C8" s="87">
        <v>0</v>
      </c>
      <c r="D8" s="53">
        <f t="shared" ref="D8:D38" si="0">B8-C8</f>
        <v>0</v>
      </c>
      <c r="E8" s="87">
        <v>0</v>
      </c>
      <c r="F8" s="87">
        <v>0</v>
      </c>
      <c r="G8" s="87">
        <v>0</v>
      </c>
      <c r="H8" s="88">
        <f t="shared" ref="H8:H38" si="1">F8*$A$5</f>
        <v>0</v>
      </c>
      <c r="I8" s="88">
        <f t="shared" ref="I8:I38" si="2">G8*$D$5</f>
        <v>0</v>
      </c>
      <c r="J8" s="88">
        <f t="shared" ref="J8:J38" si="3">B8*$G$5</f>
        <v>0</v>
      </c>
      <c r="K8" s="89">
        <f t="shared" ref="K8:K38" si="4">E8+F8+G8+H8+I8+J8</f>
        <v>0</v>
      </c>
      <c r="L8" s="54">
        <f t="shared" ref="L8:L38" si="5">D8-K8</f>
        <v>0</v>
      </c>
      <c r="M8" s="90" t="str">
        <f t="shared" ref="M8:M39" si="6">IF(D8=0,"-",L8/D8)</f>
        <v>-</v>
      </c>
      <c r="N8" s="91" t="str">
        <f t="shared" ref="N8:N39" si="7">IF(D8=0,"-",E8/D8)</f>
        <v>-</v>
      </c>
      <c r="O8" s="92" t="str">
        <f t="shared" ref="O8:O39" si="8">IF((F8+G8)=0,"-",D8/(F8+G8))</f>
        <v>-</v>
      </c>
      <c r="P8" s="54">
        <f>L8</f>
        <v>0</v>
      </c>
      <c r="Q8" s="93"/>
    </row>
    <row r="9" ht="21.75" customHeight="1" spans="1:17" x14ac:dyDescent="0.25">
      <c r="A9" s="85">
        <v>46358</v>
      </c>
      <c r="B9" s="87">
        <v>0</v>
      </c>
      <c r="C9" s="87">
        <v>0</v>
      </c>
      <c r="D9" s="53">
        <f t="shared" si="0"/>
        <v>0</v>
      </c>
      <c r="E9" s="87">
        <v>0</v>
      </c>
      <c r="F9" s="87">
        <v>0</v>
      </c>
      <c r="G9" s="87">
        <v>0</v>
      </c>
      <c r="H9" s="88">
        <f t="shared" si="1"/>
        <v>0</v>
      </c>
      <c r="I9" s="88">
        <f t="shared" si="2"/>
        <v>0</v>
      </c>
      <c r="J9" s="88">
        <f t="shared" si="3"/>
        <v>0</v>
      </c>
      <c r="K9" s="89">
        <f t="shared" si="4"/>
        <v>0</v>
      </c>
      <c r="L9" s="54">
        <f t="shared" si="5"/>
        <v>0</v>
      </c>
      <c r="M9" s="90" t="str">
        <f t="shared" si="6"/>
        <v>-</v>
      </c>
      <c r="N9" s="91" t="str">
        <f t="shared" si="7"/>
        <v>-</v>
      </c>
      <c r="O9" s="92" t="str">
        <f t="shared" si="8"/>
        <v>-</v>
      </c>
      <c r="P9" s="54">
        <f t="shared" ref="P9:P38" si="9">P8+L9</f>
        <v>0</v>
      </c>
      <c r="Q9" s="93"/>
    </row>
    <row r="10" ht="21.75" customHeight="1" spans="1:17" x14ac:dyDescent="0.25">
      <c r="A10" s="85">
        <v>46359</v>
      </c>
      <c r="B10" s="87">
        <v>0</v>
      </c>
      <c r="C10" s="87">
        <v>0</v>
      </c>
      <c r="D10" s="53">
        <f t="shared" si="0"/>
        <v>0</v>
      </c>
      <c r="E10" s="87">
        <v>0</v>
      </c>
      <c r="F10" s="87">
        <v>0</v>
      </c>
      <c r="G10" s="87">
        <v>0</v>
      </c>
      <c r="H10" s="88">
        <f t="shared" si="1"/>
        <v>0</v>
      </c>
      <c r="I10" s="88">
        <f t="shared" si="2"/>
        <v>0</v>
      </c>
      <c r="J10" s="88">
        <f t="shared" si="3"/>
        <v>0</v>
      </c>
      <c r="K10" s="89">
        <f t="shared" si="4"/>
        <v>0</v>
      </c>
      <c r="L10" s="54">
        <f t="shared" si="5"/>
        <v>0</v>
      </c>
      <c r="M10" s="90" t="str">
        <f t="shared" si="6"/>
        <v>-</v>
      </c>
      <c r="N10" s="91" t="str">
        <f t="shared" si="7"/>
        <v>-</v>
      </c>
      <c r="O10" s="92" t="str">
        <f t="shared" si="8"/>
        <v>-</v>
      </c>
      <c r="P10" s="54">
        <f t="shared" si="9"/>
        <v>0</v>
      </c>
      <c r="Q10" s="93"/>
    </row>
    <row r="11" ht="21.75" customHeight="1" spans="1:17" x14ac:dyDescent="0.25">
      <c r="A11" s="85">
        <v>46360</v>
      </c>
      <c r="B11" s="87">
        <v>0</v>
      </c>
      <c r="C11" s="87">
        <v>0</v>
      </c>
      <c r="D11" s="53">
        <f t="shared" si="0"/>
        <v>0</v>
      </c>
      <c r="E11" s="87">
        <v>0</v>
      </c>
      <c r="F11" s="87">
        <v>0</v>
      </c>
      <c r="G11" s="87">
        <v>0</v>
      </c>
      <c r="H11" s="88">
        <f t="shared" si="1"/>
        <v>0</v>
      </c>
      <c r="I11" s="88">
        <f t="shared" si="2"/>
        <v>0</v>
      </c>
      <c r="J11" s="88">
        <f t="shared" si="3"/>
        <v>0</v>
      </c>
      <c r="K11" s="89">
        <f t="shared" si="4"/>
        <v>0</v>
      </c>
      <c r="L11" s="54">
        <f t="shared" si="5"/>
        <v>0</v>
      </c>
      <c r="M11" s="90" t="str">
        <f t="shared" si="6"/>
        <v>-</v>
      </c>
      <c r="N11" s="91" t="str">
        <f t="shared" si="7"/>
        <v>-</v>
      </c>
      <c r="O11" s="92" t="str">
        <f t="shared" si="8"/>
        <v>-</v>
      </c>
      <c r="P11" s="54">
        <f t="shared" si="9"/>
        <v>0</v>
      </c>
      <c r="Q11" s="93"/>
    </row>
    <row r="12" ht="21.75" customHeight="1" spans="1:17" x14ac:dyDescent="0.25">
      <c r="A12" s="85">
        <v>46361</v>
      </c>
      <c r="B12" s="87">
        <v>0</v>
      </c>
      <c r="C12" s="87">
        <v>0</v>
      </c>
      <c r="D12" s="53">
        <f t="shared" si="0"/>
        <v>0</v>
      </c>
      <c r="E12" s="87">
        <v>0</v>
      </c>
      <c r="F12" s="87">
        <v>0</v>
      </c>
      <c r="G12" s="87">
        <v>0</v>
      </c>
      <c r="H12" s="88">
        <f t="shared" si="1"/>
        <v>0</v>
      </c>
      <c r="I12" s="88">
        <f t="shared" si="2"/>
        <v>0</v>
      </c>
      <c r="J12" s="88">
        <f t="shared" si="3"/>
        <v>0</v>
      </c>
      <c r="K12" s="89">
        <f t="shared" si="4"/>
        <v>0</v>
      </c>
      <c r="L12" s="54">
        <f t="shared" si="5"/>
        <v>0</v>
      </c>
      <c r="M12" s="90" t="str">
        <f t="shared" si="6"/>
        <v>-</v>
      </c>
      <c r="N12" s="91" t="str">
        <f t="shared" si="7"/>
        <v>-</v>
      </c>
      <c r="O12" s="92" t="str">
        <f t="shared" si="8"/>
        <v>-</v>
      </c>
      <c r="P12" s="54">
        <f t="shared" si="9"/>
        <v>0</v>
      </c>
      <c r="Q12" s="93"/>
    </row>
    <row r="13" ht="21.75" customHeight="1" spans="1:17" x14ac:dyDescent="0.25">
      <c r="A13" s="85">
        <v>46362</v>
      </c>
      <c r="B13" s="87">
        <v>0</v>
      </c>
      <c r="C13" s="87">
        <v>0</v>
      </c>
      <c r="D13" s="53">
        <f t="shared" si="0"/>
        <v>0</v>
      </c>
      <c r="E13" s="87">
        <v>0</v>
      </c>
      <c r="F13" s="87">
        <v>0</v>
      </c>
      <c r="G13" s="87">
        <v>0</v>
      </c>
      <c r="H13" s="88">
        <f t="shared" si="1"/>
        <v>0</v>
      </c>
      <c r="I13" s="88">
        <f t="shared" si="2"/>
        <v>0</v>
      </c>
      <c r="J13" s="88">
        <f t="shared" si="3"/>
        <v>0</v>
      </c>
      <c r="K13" s="89">
        <f t="shared" si="4"/>
        <v>0</v>
      </c>
      <c r="L13" s="54">
        <f t="shared" si="5"/>
        <v>0</v>
      </c>
      <c r="M13" s="90" t="str">
        <f t="shared" si="6"/>
        <v>-</v>
      </c>
      <c r="N13" s="91" t="str">
        <f t="shared" si="7"/>
        <v>-</v>
      </c>
      <c r="O13" s="92" t="str">
        <f t="shared" si="8"/>
        <v>-</v>
      </c>
      <c r="P13" s="54">
        <f t="shared" si="9"/>
        <v>0</v>
      </c>
      <c r="Q13" s="93"/>
    </row>
    <row r="14" ht="21.75" customHeight="1" spans="1:17" x14ac:dyDescent="0.25">
      <c r="A14" s="85">
        <v>46363</v>
      </c>
      <c r="B14" s="87">
        <v>0</v>
      </c>
      <c r="C14" s="87">
        <v>0</v>
      </c>
      <c r="D14" s="53">
        <f t="shared" si="0"/>
        <v>0</v>
      </c>
      <c r="E14" s="87">
        <v>0</v>
      </c>
      <c r="F14" s="87">
        <v>0</v>
      </c>
      <c r="G14" s="87">
        <v>0</v>
      </c>
      <c r="H14" s="88">
        <f t="shared" si="1"/>
        <v>0</v>
      </c>
      <c r="I14" s="88">
        <f t="shared" si="2"/>
        <v>0</v>
      </c>
      <c r="J14" s="88">
        <f t="shared" si="3"/>
        <v>0</v>
      </c>
      <c r="K14" s="89">
        <f t="shared" si="4"/>
        <v>0</v>
      </c>
      <c r="L14" s="54">
        <f t="shared" si="5"/>
        <v>0</v>
      </c>
      <c r="M14" s="90" t="str">
        <f t="shared" si="6"/>
        <v>-</v>
      </c>
      <c r="N14" s="91" t="str">
        <f t="shared" si="7"/>
        <v>-</v>
      </c>
      <c r="O14" s="92" t="str">
        <f t="shared" si="8"/>
        <v>-</v>
      </c>
      <c r="P14" s="54">
        <f t="shared" si="9"/>
        <v>0</v>
      </c>
      <c r="Q14" s="93"/>
    </row>
    <row r="15" ht="21.75" customHeight="1" spans="1:17" x14ac:dyDescent="0.25">
      <c r="A15" s="85">
        <v>46364</v>
      </c>
      <c r="B15" s="87">
        <v>0</v>
      </c>
      <c r="C15" s="87">
        <v>0</v>
      </c>
      <c r="D15" s="53">
        <f t="shared" si="0"/>
        <v>0</v>
      </c>
      <c r="E15" s="87">
        <v>0</v>
      </c>
      <c r="F15" s="87">
        <v>0</v>
      </c>
      <c r="G15" s="87">
        <v>0</v>
      </c>
      <c r="H15" s="88">
        <f t="shared" si="1"/>
        <v>0</v>
      </c>
      <c r="I15" s="88">
        <f t="shared" si="2"/>
        <v>0</v>
      </c>
      <c r="J15" s="88">
        <f t="shared" si="3"/>
        <v>0</v>
      </c>
      <c r="K15" s="89">
        <f t="shared" si="4"/>
        <v>0</v>
      </c>
      <c r="L15" s="54">
        <f t="shared" si="5"/>
        <v>0</v>
      </c>
      <c r="M15" s="90" t="str">
        <f t="shared" si="6"/>
        <v>-</v>
      </c>
      <c r="N15" s="91" t="str">
        <f t="shared" si="7"/>
        <v>-</v>
      </c>
      <c r="O15" s="92" t="str">
        <f t="shared" si="8"/>
        <v>-</v>
      </c>
      <c r="P15" s="54">
        <f t="shared" si="9"/>
        <v>0</v>
      </c>
      <c r="Q15" s="93"/>
    </row>
    <row r="16" ht="21.75" customHeight="1" spans="1:17" x14ac:dyDescent="0.25">
      <c r="A16" s="85">
        <v>46365</v>
      </c>
      <c r="B16" s="87">
        <v>0</v>
      </c>
      <c r="C16" s="87">
        <v>0</v>
      </c>
      <c r="D16" s="53">
        <f t="shared" si="0"/>
        <v>0</v>
      </c>
      <c r="E16" s="87">
        <v>0</v>
      </c>
      <c r="F16" s="87">
        <v>0</v>
      </c>
      <c r="G16" s="87">
        <v>0</v>
      </c>
      <c r="H16" s="88">
        <f t="shared" si="1"/>
        <v>0</v>
      </c>
      <c r="I16" s="88">
        <f t="shared" si="2"/>
        <v>0</v>
      </c>
      <c r="J16" s="88">
        <f t="shared" si="3"/>
        <v>0</v>
      </c>
      <c r="K16" s="89">
        <f t="shared" si="4"/>
        <v>0</v>
      </c>
      <c r="L16" s="54">
        <f t="shared" si="5"/>
        <v>0</v>
      </c>
      <c r="M16" s="90" t="str">
        <f t="shared" si="6"/>
        <v>-</v>
      </c>
      <c r="N16" s="91" t="str">
        <f t="shared" si="7"/>
        <v>-</v>
      </c>
      <c r="O16" s="92" t="str">
        <f t="shared" si="8"/>
        <v>-</v>
      </c>
      <c r="P16" s="54">
        <f t="shared" si="9"/>
        <v>0</v>
      </c>
      <c r="Q16" s="93"/>
    </row>
    <row r="17" ht="21.75" customHeight="1" spans="1:17" x14ac:dyDescent="0.25">
      <c r="A17" s="85">
        <v>46366</v>
      </c>
      <c r="B17" s="87">
        <v>0</v>
      </c>
      <c r="C17" s="87">
        <v>0</v>
      </c>
      <c r="D17" s="53">
        <f t="shared" si="0"/>
        <v>0</v>
      </c>
      <c r="E17" s="87">
        <v>0</v>
      </c>
      <c r="F17" s="87">
        <v>0</v>
      </c>
      <c r="G17" s="87">
        <v>0</v>
      </c>
      <c r="H17" s="88">
        <f t="shared" si="1"/>
        <v>0</v>
      </c>
      <c r="I17" s="88">
        <f t="shared" si="2"/>
        <v>0</v>
      </c>
      <c r="J17" s="88">
        <f t="shared" si="3"/>
        <v>0</v>
      </c>
      <c r="K17" s="89">
        <f t="shared" si="4"/>
        <v>0</v>
      </c>
      <c r="L17" s="54">
        <f t="shared" si="5"/>
        <v>0</v>
      </c>
      <c r="M17" s="90" t="str">
        <f t="shared" si="6"/>
        <v>-</v>
      </c>
      <c r="N17" s="91" t="str">
        <f t="shared" si="7"/>
        <v>-</v>
      </c>
      <c r="O17" s="92" t="str">
        <f t="shared" si="8"/>
        <v>-</v>
      </c>
      <c r="P17" s="54">
        <f t="shared" si="9"/>
        <v>0</v>
      </c>
      <c r="Q17" s="93"/>
    </row>
    <row r="18" ht="21.75" customHeight="1" spans="1:17" x14ac:dyDescent="0.25">
      <c r="A18" s="85">
        <v>46367</v>
      </c>
      <c r="B18" s="87">
        <v>0</v>
      </c>
      <c r="C18" s="87">
        <v>0</v>
      </c>
      <c r="D18" s="53">
        <f t="shared" si="0"/>
        <v>0</v>
      </c>
      <c r="E18" s="87">
        <v>0</v>
      </c>
      <c r="F18" s="87">
        <v>0</v>
      </c>
      <c r="G18" s="87">
        <v>0</v>
      </c>
      <c r="H18" s="88">
        <f t="shared" si="1"/>
        <v>0</v>
      </c>
      <c r="I18" s="88">
        <f t="shared" si="2"/>
        <v>0</v>
      </c>
      <c r="J18" s="88">
        <f t="shared" si="3"/>
        <v>0</v>
      </c>
      <c r="K18" s="89">
        <f t="shared" si="4"/>
        <v>0</v>
      </c>
      <c r="L18" s="54">
        <f t="shared" si="5"/>
        <v>0</v>
      </c>
      <c r="M18" s="90" t="str">
        <f t="shared" si="6"/>
        <v>-</v>
      </c>
      <c r="N18" s="91" t="str">
        <f t="shared" si="7"/>
        <v>-</v>
      </c>
      <c r="O18" s="92" t="str">
        <f t="shared" si="8"/>
        <v>-</v>
      </c>
      <c r="P18" s="54">
        <f t="shared" si="9"/>
        <v>0</v>
      </c>
      <c r="Q18" s="93"/>
    </row>
    <row r="19" ht="21.75" customHeight="1" spans="1:17" x14ac:dyDescent="0.25">
      <c r="A19" s="85">
        <v>46368</v>
      </c>
      <c r="B19" s="87">
        <v>0</v>
      </c>
      <c r="C19" s="87">
        <v>0</v>
      </c>
      <c r="D19" s="53">
        <f t="shared" si="0"/>
        <v>0</v>
      </c>
      <c r="E19" s="87">
        <v>0</v>
      </c>
      <c r="F19" s="87">
        <v>0</v>
      </c>
      <c r="G19" s="87">
        <v>0</v>
      </c>
      <c r="H19" s="88">
        <f t="shared" si="1"/>
        <v>0</v>
      </c>
      <c r="I19" s="88">
        <f t="shared" si="2"/>
        <v>0</v>
      </c>
      <c r="J19" s="88">
        <f t="shared" si="3"/>
        <v>0</v>
      </c>
      <c r="K19" s="89">
        <f t="shared" si="4"/>
        <v>0</v>
      </c>
      <c r="L19" s="54">
        <f t="shared" si="5"/>
        <v>0</v>
      </c>
      <c r="M19" s="90" t="str">
        <f t="shared" si="6"/>
        <v>-</v>
      </c>
      <c r="N19" s="91" t="str">
        <f t="shared" si="7"/>
        <v>-</v>
      </c>
      <c r="O19" s="92" t="str">
        <f t="shared" si="8"/>
        <v>-</v>
      </c>
      <c r="P19" s="54">
        <f t="shared" si="9"/>
        <v>0</v>
      </c>
      <c r="Q19" s="93"/>
    </row>
    <row r="20" ht="21.75" customHeight="1" spans="1:17" x14ac:dyDescent="0.25">
      <c r="A20" s="85">
        <v>46369</v>
      </c>
      <c r="B20" s="87">
        <v>0</v>
      </c>
      <c r="C20" s="87">
        <v>0</v>
      </c>
      <c r="D20" s="53">
        <f t="shared" si="0"/>
        <v>0</v>
      </c>
      <c r="E20" s="87">
        <v>0</v>
      </c>
      <c r="F20" s="87">
        <v>0</v>
      </c>
      <c r="G20" s="87">
        <v>0</v>
      </c>
      <c r="H20" s="88">
        <f t="shared" si="1"/>
        <v>0</v>
      </c>
      <c r="I20" s="88">
        <f t="shared" si="2"/>
        <v>0</v>
      </c>
      <c r="J20" s="88">
        <f t="shared" si="3"/>
        <v>0</v>
      </c>
      <c r="K20" s="89">
        <f t="shared" si="4"/>
        <v>0</v>
      </c>
      <c r="L20" s="54">
        <f t="shared" si="5"/>
        <v>0</v>
      </c>
      <c r="M20" s="90" t="str">
        <f t="shared" si="6"/>
        <v>-</v>
      </c>
      <c r="N20" s="91" t="str">
        <f t="shared" si="7"/>
        <v>-</v>
      </c>
      <c r="O20" s="92" t="str">
        <f t="shared" si="8"/>
        <v>-</v>
      </c>
      <c r="P20" s="54">
        <f t="shared" si="9"/>
        <v>0</v>
      </c>
      <c r="Q20" s="93"/>
    </row>
    <row r="21" ht="21.75" customHeight="1" spans="1:17" x14ac:dyDescent="0.25">
      <c r="A21" s="85">
        <v>46370</v>
      </c>
      <c r="B21" s="87">
        <v>0</v>
      </c>
      <c r="C21" s="87">
        <v>0</v>
      </c>
      <c r="D21" s="53">
        <f t="shared" si="0"/>
        <v>0</v>
      </c>
      <c r="E21" s="87">
        <v>0</v>
      </c>
      <c r="F21" s="87">
        <v>0</v>
      </c>
      <c r="G21" s="87">
        <v>0</v>
      </c>
      <c r="H21" s="88">
        <f t="shared" si="1"/>
        <v>0</v>
      </c>
      <c r="I21" s="88">
        <f t="shared" si="2"/>
        <v>0</v>
      </c>
      <c r="J21" s="88">
        <f t="shared" si="3"/>
        <v>0</v>
      </c>
      <c r="K21" s="89">
        <f t="shared" si="4"/>
        <v>0</v>
      </c>
      <c r="L21" s="54">
        <f t="shared" si="5"/>
        <v>0</v>
      </c>
      <c r="M21" s="90" t="str">
        <f t="shared" si="6"/>
        <v>-</v>
      </c>
      <c r="N21" s="91" t="str">
        <f t="shared" si="7"/>
        <v>-</v>
      </c>
      <c r="O21" s="92" t="str">
        <f t="shared" si="8"/>
        <v>-</v>
      </c>
      <c r="P21" s="54">
        <f t="shared" si="9"/>
        <v>0</v>
      </c>
      <c r="Q21" s="93"/>
    </row>
    <row r="22" ht="21.75" customHeight="1" spans="1:17" x14ac:dyDescent="0.25">
      <c r="A22" s="85">
        <v>46371</v>
      </c>
      <c r="B22" s="87">
        <v>0</v>
      </c>
      <c r="C22" s="87">
        <v>0</v>
      </c>
      <c r="D22" s="53">
        <f t="shared" si="0"/>
        <v>0</v>
      </c>
      <c r="E22" s="87">
        <v>0</v>
      </c>
      <c r="F22" s="87">
        <v>0</v>
      </c>
      <c r="G22" s="87">
        <v>0</v>
      </c>
      <c r="H22" s="88">
        <f t="shared" si="1"/>
        <v>0</v>
      </c>
      <c r="I22" s="88">
        <f t="shared" si="2"/>
        <v>0</v>
      </c>
      <c r="J22" s="88">
        <f t="shared" si="3"/>
        <v>0</v>
      </c>
      <c r="K22" s="89">
        <f t="shared" si="4"/>
        <v>0</v>
      </c>
      <c r="L22" s="54">
        <f t="shared" si="5"/>
        <v>0</v>
      </c>
      <c r="M22" s="90" t="str">
        <f t="shared" si="6"/>
        <v>-</v>
      </c>
      <c r="N22" s="91" t="str">
        <f t="shared" si="7"/>
        <v>-</v>
      </c>
      <c r="O22" s="92" t="str">
        <f t="shared" si="8"/>
        <v>-</v>
      </c>
      <c r="P22" s="54">
        <f t="shared" si="9"/>
        <v>0</v>
      </c>
      <c r="Q22" s="93"/>
    </row>
    <row r="23" ht="21.75" customHeight="1" spans="1:17" x14ac:dyDescent="0.25">
      <c r="A23" s="85">
        <v>46372</v>
      </c>
      <c r="B23" s="87">
        <v>0</v>
      </c>
      <c r="C23" s="87">
        <v>0</v>
      </c>
      <c r="D23" s="53">
        <f t="shared" si="0"/>
        <v>0</v>
      </c>
      <c r="E23" s="87">
        <v>0</v>
      </c>
      <c r="F23" s="87">
        <v>0</v>
      </c>
      <c r="G23" s="87">
        <v>0</v>
      </c>
      <c r="H23" s="88">
        <f t="shared" si="1"/>
        <v>0</v>
      </c>
      <c r="I23" s="88">
        <f t="shared" si="2"/>
        <v>0</v>
      </c>
      <c r="J23" s="88">
        <f t="shared" si="3"/>
        <v>0</v>
      </c>
      <c r="K23" s="89">
        <f t="shared" si="4"/>
        <v>0</v>
      </c>
      <c r="L23" s="54">
        <f t="shared" si="5"/>
        <v>0</v>
      </c>
      <c r="M23" s="90" t="str">
        <f t="shared" si="6"/>
        <v>-</v>
      </c>
      <c r="N23" s="91" t="str">
        <f t="shared" si="7"/>
        <v>-</v>
      </c>
      <c r="O23" s="92" t="str">
        <f t="shared" si="8"/>
        <v>-</v>
      </c>
      <c r="P23" s="54">
        <f t="shared" si="9"/>
        <v>0</v>
      </c>
      <c r="Q23" s="93"/>
    </row>
    <row r="24" ht="21.75" customHeight="1" spans="1:17" x14ac:dyDescent="0.25">
      <c r="A24" s="85">
        <v>46373</v>
      </c>
      <c r="B24" s="87">
        <v>0</v>
      </c>
      <c r="C24" s="87">
        <v>0</v>
      </c>
      <c r="D24" s="53">
        <f t="shared" si="0"/>
        <v>0</v>
      </c>
      <c r="E24" s="87">
        <v>0</v>
      </c>
      <c r="F24" s="87">
        <v>0</v>
      </c>
      <c r="G24" s="87">
        <v>0</v>
      </c>
      <c r="H24" s="88">
        <f t="shared" si="1"/>
        <v>0</v>
      </c>
      <c r="I24" s="88">
        <f t="shared" si="2"/>
        <v>0</v>
      </c>
      <c r="J24" s="88">
        <f t="shared" si="3"/>
        <v>0</v>
      </c>
      <c r="K24" s="89">
        <f t="shared" si="4"/>
        <v>0</v>
      </c>
      <c r="L24" s="54">
        <f t="shared" si="5"/>
        <v>0</v>
      </c>
      <c r="M24" s="90" t="str">
        <f t="shared" si="6"/>
        <v>-</v>
      </c>
      <c r="N24" s="91" t="str">
        <f t="shared" si="7"/>
        <v>-</v>
      </c>
      <c r="O24" s="92" t="str">
        <f t="shared" si="8"/>
        <v>-</v>
      </c>
      <c r="P24" s="54">
        <f t="shared" si="9"/>
        <v>0</v>
      </c>
      <c r="Q24" s="93"/>
    </row>
    <row r="25" ht="21.75" customHeight="1" spans="1:17" x14ac:dyDescent="0.25">
      <c r="A25" s="85">
        <v>46374</v>
      </c>
      <c r="B25" s="87">
        <v>0</v>
      </c>
      <c r="C25" s="87">
        <v>0</v>
      </c>
      <c r="D25" s="53">
        <f t="shared" si="0"/>
        <v>0</v>
      </c>
      <c r="E25" s="87">
        <v>0</v>
      </c>
      <c r="F25" s="87">
        <v>0</v>
      </c>
      <c r="G25" s="87">
        <v>0</v>
      </c>
      <c r="H25" s="88">
        <f t="shared" si="1"/>
        <v>0</v>
      </c>
      <c r="I25" s="88">
        <f t="shared" si="2"/>
        <v>0</v>
      </c>
      <c r="J25" s="88">
        <f t="shared" si="3"/>
        <v>0</v>
      </c>
      <c r="K25" s="89">
        <f t="shared" si="4"/>
        <v>0</v>
      </c>
      <c r="L25" s="54">
        <f t="shared" si="5"/>
        <v>0</v>
      </c>
      <c r="M25" s="90" t="str">
        <f t="shared" si="6"/>
        <v>-</v>
      </c>
      <c r="N25" s="91" t="str">
        <f t="shared" si="7"/>
        <v>-</v>
      </c>
      <c r="O25" s="92" t="str">
        <f t="shared" si="8"/>
        <v>-</v>
      </c>
      <c r="P25" s="54">
        <f t="shared" si="9"/>
        <v>0</v>
      </c>
      <c r="Q25" s="93"/>
    </row>
    <row r="26" ht="21.75" customHeight="1" spans="1:17" x14ac:dyDescent="0.25">
      <c r="A26" s="85">
        <v>46375</v>
      </c>
      <c r="B26" s="87">
        <v>0</v>
      </c>
      <c r="C26" s="87">
        <v>0</v>
      </c>
      <c r="D26" s="53">
        <f t="shared" si="0"/>
        <v>0</v>
      </c>
      <c r="E26" s="87">
        <v>0</v>
      </c>
      <c r="F26" s="87">
        <v>0</v>
      </c>
      <c r="G26" s="87">
        <v>0</v>
      </c>
      <c r="H26" s="88">
        <f t="shared" si="1"/>
        <v>0</v>
      </c>
      <c r="I26" s="88">
        <f t="shared" si="2"/>
        <v>0</v>
      </c>
      <c r="J26" s="88">
        <f t="shared" si="3"/>
        <v>0</v>
      </c>
      <c r="K26" s="89">
        <f t="shared" si="4"/>
        <v>0</v>
      </c>
      <c r="L26" s="54">
        <f t="shared" si="5"/>
        <v>0</v>
      </c>
      <c r="M26" s="90" t="str">
        <f t="shared" si="6"/>
        <v>-</v>
      </c>
      <c r="N26" s="91" t="str">
        <f t="shared" si="7"/>
        <v>-</v>
      </c>
      <c r="O26" s="92" t="str">
        <f t="shared" si="8"/>
        <v>-</v>
      </c>
      <c r="P26" s="54">
        <f t="shared" si="9"/>
        <v>0</v>
      </c>
      <c r="Q26" s="93"/>
    </row>
    <row r="27" ht="21.75" customHeight="1" spans="1:17" x14ac:dyDescent="0.25">
      <c r="A27" s="85">
        <v>46376</v>
      </c>
      <c r="B27" s="87">
        <v>0</v>
      </c>
      <c r="C27" s="87">
        <v>0</v>
      </c>
      <c r="D27" s="53">
        <f t="shared" si="0"/>
        <v>0</v>
      </c>
      <c r="E27" s="87">
        <v>0</v>
      </c>
      <c r="F27" s="87">
        <v>0</v>
      </c>
      <c r="G27" s="87">
        <v>0</v>
      </c>
      <c r="H27" s="88">
        <f t="shared" si="1"/>
        <v>0</v>
      </c>
      <c r="I27" s="88">
        <f t="shared" si="2"/>
        <v>0</v>
      </c>
      <c r="J27" s="88">
        <f t="shared" si="3"/>
        <v>0</v>
      </c>
      <c r="K27" s="89">
        <f t="shared" si="4"/>
        <v>0</v>
      </c>
      <c r="L27" s="54">
        <f t="shared" si="5"/>
        <v>0</v>
      </c>
      <c r="M27" s="90" t="str">
        <f t="shared" si="6"/>
        <v>-</v>
      </c>
      <c r="N27" s="91" t="str">
        <f t="shared" si="7"/>
        <v>-</v>
      </c>
      <c r="O27" s="92" t="str">
        <f t="shared" si="8"/>
        <v>-</v>
      </c>
      <c r="P27" s="54">
        <f t="shared" si="9"/>
        <v>0</v>
      </c>
      <c r="Q27" s="93"/>
    </row>
    <row r="28" ht="21.75" customHeight="1" spans="1:17" x14ac:dyDescent="0.25">
      <c r="A28" s="85">
        <v>46377</v>
      </c>
      <c r="B28" s="87">
        <v>0</v>
      </c>
      <c r="C28" s="87">
        <v>0</v>
      </c>
      <c r="D28" s="53">
        <f t="shared" si="0"/>
        <v>0</v>
      </c>
      <c r="E28" s="87">
        <v>0</v>
      </c>
      <c r="F28" s="87">
        <v>0</v>
      </c>
      <c r="G28" s="87">
        <v>0</v>
      </c>
      <c r="H28" s="88">
        <f t="shared" si="1"/>
        <v>0</v>
      </c>
      <c r="I28" s="88">
        <f t="shared" si="2"/>
        <v>0</v>
      </c>
      <c r="J28" s="88">
        <f t="shared" si="3"/>
        <v>0</v>
      </c>
      <c r="K28" s="89">
        <f t="shared" si="4"/>
        <v>0</v>
      </c>
      <c r="L28" s="54">
        <f t="shared" si="5"/>
        <v>0</v>
      </c>
      <c r="M28" s="90" t="str">
        <f t="shared" si="6"/>
        <v>-</v>
      </c>
      <c r="N28" s="91" t="str">
        <f t="shared" si="7"/>
        <v>-</v>
      </c>
      <c r="O28" s="92" t="str">
        <f t="shared" si="8"/>
        <v>-</v>
      </c>
      <c r="P28" s="54">
        <f t="shared" si="9"/>
        <v>0</v>
      </c>
      <c r="Q28" s="93"/>
    </row>
    <row r="29" ht="21.75" customHeight="1" spans="1:17" x14ac:dyDescent="0.25">
      <c r="A29" s="85">
        <v>46378</v>
      </c>
      <c r="B29" s="87">
        <v>0</v>
      </c>
      <c r="C29" s="87">
        <v>0</v>
      </c>
      <c r="D29" s="53">
        <f t="shared" si="0"/>
        <v>0</v>
      </c>
      <c r="E29" s="87">
        <v>0</v>
      </c>
      <c r="F29" s="87">
        <v>0</v>
      </c>
      <c r="G29" s="87">
        <v>0</v>
      </c>
      <c r="H29" s="88">
        <f t="shared" si="1"/>
        <v>0</v>
      </c>
      <c r="I29" s="88">
        <f t="shared" si="2"/>
        <v>0</v>
      </c>
      <c r="J29" s="88">
        <f t="shared" si="3"/>
        <v>0</v>
      </c>
      <c r="K29" s="89">
        <f t="shared" si="4"/>
        <v>0</v>
      </c>
      <c r="L29" s="54">
        <f t="shared" si="5"/>
        <v>0</v>
      </c>
      <c r="M29" s="90" t="str">
        <f t="shared" si="6"/>
        <v>-</v>
      </c>
      <c r="N29" s="91" t="str">
        <f t="shared" si="7"/>
        <v>-</v>
      </c>
      <c r="O29" s="92" t="str">
        <f t="shared" si="8"/>
        <v>-</v>
      </c>
      <c r="P29" s="54">
        <f t="shared" si="9"/>
        <v>0</v>
      </c>
      <c r="Q29" s="93"/>
    </row>
    <row r="30" ht="21.75" customHeight="1" spans="1:17" x14ac:dyDescent="0.25">
      <c r="A30" s="85">
        <v>46379</v>
      </c>
      <c r="B30" s="87">
        <v>0</v>
      </c>
      <c r="C30" s="87">
        <v>0</v>
      </c>
      <c r="D30" s="53">
        <f t="shared" si="0"/>
        <v>0</v>
      </c>
      <c r="E30" s="87">
        <v>0</v>
      </c>
      <c r="F30" s="87">
        <v>0</v>
      </c>
      <c r="G30" s="87">
        <v>0</v>
      </c>
      <c r="H30" s="88">
        <f t="shared" si="1"/>
        <v>0</v>
      </c>
      <c r="I30" s="88">
        <f t="shared" si="2"/>
        <v>0</v>
      </c>
      <c r="J30" s="88">
        <f t="shared" si="3"/>
        <v>0</v>
      </c>
      <c r="K30" s="89">
        <f t="shared" si="4"/>
        <v>0</v>
      </c>
      <c r="L30" s="54">
        <f t="shared" si="5"/>
        <v>0</v>
      </c>
      <c r="M30" s="90" t="str">
        <f t="shared" si="6"/>
        <v>-</v>
      </c>
      <c r="N30" s="91" t="str">
        <f t="shared" si="7"/>
        <v>-</v>
      </c>
      <c r="O30" s="92" t="str">
        <f t="shared" si="8"/>
        <v>-</v>
      </c>
      <c r="P30" s="54">
        <f t="shared" si="9"/>
        <v>0</v>
      </c>
      <c r="Q30" s="93"/>
    </row>
    <row r="31" ht="21.75" customHeight="1" spans="1:17" x14ac:dyDescent="0.25">
      <c r="A31" s="85">
        <v>46380</v>
      </c>
      <c r="B31" s="87">
        <v>0</v>
      </c>
      <c r="C31" s="87">
        <v>0</v>
      </c>
      <c r="D31" s="53">
        <f t="shared" si="0"/>
        <v>0</v>
      </c>
      <c r="E31" s="87">
        <v>0</v>
      </c>
      <c r="F31" s="87">
        <v>0</v>
      </c>
      <c r="G31" s="87">
        <v>0</v>
      </c>
      <c r="H31" s="88">
        <f t="shared" si="1"/>
        <v>0</v>
      </c>
      <c r="I31" s="88">
        <f t="shared" si="2"/>
        <v>0</v>
      </c>
      <c r="J31" s="88">
        <f t="shared" si="3"/>
        <v>0</v>
      </c>
      <c r="K31" s="89">
        <f t="shared" si="4"/>
        <v>0</v>
      </c>
      <c r="L31" s="54">
        <f t="shared" si="5"/>
        <v>0</v>
      </c>
      <c r="M31" s="90" t="str">
        <f t="shared" si="6"/>
        <v>-</v>
      </c>
      <c r="N31" s="91" t="str">
        <f t="shared" si="7"/>
        <v>-</v>
      </c>
      <c r="O31" s="92" t="str">
        <f t="shared" si="8"/>
        <v>-</v>
      </c>
      <c r="P31" s="54">
        <f t="shared" si="9"/>
        <v>0</v>
      </c>
      <c r="Q31" s="93"/>
    </row>
    <row r="32" ht="21.75" customHeight="1" spans="1:17" x14ac:dyDescent="0.25">
      <c r="A32" s="85">
        <v>46381</v>
      </c>
      <c r="B32" s="87">
        <v>0</v>
      </c>
      <c r="C32" s="87">
        <v>0</v>
      </c>
      <c r="D32" s="53">
        <f t="shared" si="0"/>
        <v>0</v>
      </c>
      <c r="E32" s="87">
        <v>0</v>
      </c>
      <c r="F32" s="87">
        <v>0</v>
      </c>
      <c r="G32" s="87">
        <v>0</v>
      </c>
      <c r="H32" s="88">
        <f t="shared" si="1"/>
        <v>0</v>
      </c>
      <c r="I32" s="88">
        <f t="shared" si="2"/>
        <v>0</v>
      </c>
      <c r="J32" s="88">
        <f t="shared" si="3"/>
        <v>0</v>
      </c>
      <c r="K32" s="89">
        <f t="shared" si="4"/>
        <v>0</v>
      </c>
      <c r="L32" s="54">
        <f t="shared" si="5"/>
        <v>0</v>
      </c>
      <c r="M32" s="90" t="str">
        <f t="shared" si="6"/>
        <v>-</v>
      </c>
      <c r="N32" s="91" t="str">
        <f t="shared" si="7"/>
        <v>-</v>
      </c>
      <c r="O32" s="92" t="str">
        <f t="shared" si="8"/>
        <v>-</v>
      </c>
      <c r="P32" s="54">
        <f t="shared" si="9"/>
        <v>0</v>
      </c>
      <c r="Q32" s="93"/>
    </row>
    <row r="33" ht="21.75" customHeight="1" spans="1:17" x14ac:dyDescent="0.25">
      <c r="A33" s="85">
        <v>46382</v>
      </c>
      <c r="B33" s="87">
        <v>0</v>
      </c>
      <c r="C33" s="87">
        <v>0</v>
      </c>
      <c r="D33" s="53">
        <f t="shared" si="0"/>
        <v>0</v>
      </c>
      <c r="E33" s="87">
        <v>0</v>
      </c>
      <c r="F33" s="87">
        <v>0</v>
      </c>
      <c r="G33" s="87">
        <v>0</v>
      </c>
      <c r="H33" s="88">
        <f t="shared" si="1"/>
        <v>0</v>
      </c>
      <c r="I33" s="88">
        <f t="shared" si="2"/>
        <v>0</v>
      </c>
      <c r="J33" s="88">
        <f t="shared" si="3"/>
        <v>0</v>
      </c>
      <c r="K33" s="89">
        <f t="shared" si="4"/>
        <v>0</v>
      </c>
      <c r="L33" s="54">
        <f t="shared" si="5"/>
        <v>0</v>
      </c>
      <c r="M33" s="90" t="str">
        <f t="shared" si="6"/>
        <v>-</v>
      </c>
      <c r="N33" s="91" t="str">
        <f t="shared" si="7"/>
        <v>-</v>
      </c>
      <c r="O33" s="92" t="str">
        <f t="shared" si="8"/>
        <v>-</v>
      </c>
      <c r="P33" s="54">
        <f t="shared" si="9"/>
        <v>0</v>
      </c>
      <c r="Q33" s="93"/>
    </row>
    <row r="34" ht="21.75" customHeight="1" spans="1:17" x14ac:dyDescent="0.25">
      <c r="A34" s="85">
        <v>46383</v>
      </c>
      <c r="B34" s="87">
        <v>0</v>
      </c>
      <c r="C34" s="87">
        <v>0</v>
      </c>
      <c r="D34" s="53">
        <f t="shared" si="0"/>
        <v>0</v>
      </c>
      <c r="E34" s="87">
        <v>0</v>
      </c>
      <c r="F34" s="87">
        <v>0</v>
      </c>
      <c r="G34" s="87">
        <v>0</v>
      </c>
      <c r="H34" s="88">
        <f t="shared" si="1"/>
        <v>0</v>
      </c>
      <c r="I34" s="88">
        <f t="shared" si="2"/>
        <v>0</v>
      </c>
      <c r="J34" s="88">
        <f t="shared" si="3"/>
        <v>0</v>
      </c>
      <c r="K34" s="89">
        <f t="shared" si="4"/>
        <v>0</v>
      </c>
      <c r="L34" s="54">
        <f t="shared" si="5"/>
        <v>0</v>
      </c>
      <c r="M34" s="90" t="str">
        <f t="shared" si="6"/>
        <v>-</v>
      </c>
      <c r="N34" s="91" t="str">
        <f t="shared" si="7"/>
        <v>-</v>
      </c>
      <c r="O34" s="92" t="str">
        <f t="shared" si="8"/>
        <v>-</v>
      </c>
      <c r="P34" s="54">
        <f t="shared" si="9"/>
        <v>0</v>
      </c>
      <c r="Q34" s="93"/>
    </row>
    <row r="35" ht="21.75" customHeight="1" spans="1:17" x14ac:dyDescent="0.25">
      <c r="A35" s="85">
        <v>46384</v>
      </c>
      <c r="B35" s="87">
        <v>0</v>
      </c>
      <c r="C35" s="87">
        <v>0</v>
      </c>
      <c r="D35" s="53">
        <f t="shared" si="0"/>
        <v>0</v>
      </c>
      <c r="E35" s="87">
        <v>0</v>
      </c>
      <c r="F35" s="87">
        <v>0</v>
      </c>
      <c r="G35" s="87">
        <v>0</v>
      </c>
      <c r="H35" s="88">
        <f t="shared" si="1"/>
        <v>0</v>
      </c>
      <c r="I35" s="88">
        <f t="shared" si="2"/>
        <v>0</v>
      </c>
      <c r="J35" s="88">
        <f t="shared" si="3"/>
        <v>0</v>
      </c>
      <c r="K35" s="89">
        <f t="shared" si="4"/>
        <v>0</v>
      </c>
      <c r="L35" s="54">
        <f t="shared" si="5"/>
        <v>0</v>
      </c>
      <c r="M35" s="90" t="str">
        <f t="shared" si="6"/>
        <v>-</v>
      </c>
      <c r="N35" s="91" t="str">
        <f t="shared" si="7"/>
        <v>-</v>
      </c>
      <c r="O35" s="92" t="str">
        <f t="shared" si="8"/>
        <v>-</v>
      </c>
      <c r="P35" s="54">
        <f t="shared" si="9"/>
        <v>0</v>
      </c>
      <c r="Q35" s="93"/>
    </row>
    <row r="36" ht="21.75" customHeight="1" spans="1:17" x14ac:dyDescent="0.25">
      <c r="A36" s="85">
        <v>46385</v>
      </c>
      <c r="B36" s="87">
        <v>0</v>
      </c>
      <c r="C36" s="87">
        <v>0</v>
      </c>
      <c r="D36" s="53">
        <f t="shared" si="0"/>
        <v>0</v>
      </c>
      <c r="E36" s="87">
        <v>0</v>
      </c>
      <c r="F36" s="87">
        <v>0</v>
      </c>
      <c r="G36" s="87">
        <v>0</v>
      </c>
      <c r="H36" s="88">
        <f t="shared" si="1"/>
        <v>0</v>
      </c>
      <c r="I36" s="88">
        <f t="shared" si="2"/>
        <v>0</v>
      </c>
      <c r="J36" s="88">
        <f t="shared" si="3"/>
        <v>0</v>
      </c>
      <c r="K36" s="89">
        <f t="shared" si="4"/>
        <v>0</v>
      </c>
      <c r="L36" s="54">
        <f t="shared" si="5"/>
        <v>0</v>
      </c>
      <c r="M36" s="90" t="str">
        <f t="shared" si="6"/>
        <v>-</v>
      </c>
      <c r="N36" s="91" t="str">
        <f t="shared" si="7"/>
        <v>-</v>
      </c>
      <c r="O36" s="92" t="str">
        <f t="shared" si="8"/>
        <v>-</v>
      </c>
      <c r="P36" s="54">
        <f t="shared" si="9"/>
        <v>0</v>
      </c>
      <c r="Q36" s="93"/>
    </row>
    <row r="37" ht="21.75" customHeight="1" spans="1:17" x14ac:dyDescent="0.25">
      <c r="A37" s="85">
        <v>46386</v>
      </c>
      <c r="B37" s="87">
        <v>0</v>
      </c>
      <c r="C37" s="87">
        <v>0</v>
      </c>
      <c r="D37" s="53">
        <f t="shared" si="0"/>
        <v>0</v>
      </c>
      <c r="E37" s="87">
        <v>0</v>
      </c>
      <c r="F37" s="87">
        <v>0</v>
      </c>
      <c r="G37" s="87">
        <v>0</v>
      </c>
      <c r="H37" s="88">
        <f t="shared" si="1"/>
        <v>0</v>
      </c>
      <c r="I37" s="88">
        <f t="shared" si="2"/>
        <v>0</v>
      </c>
      <c r="J37" s="88">
        <f t="shared" si="3"/>
        <v>0</v>
      </c>
      <c r="K37" s="89">
        <f t="shared" si="4"/>
        <v>0</v>
      </c>
      <c r="L37" s="54">
        <f t="shared" si="5"/>
        <v>0</v>
      </c>
      <c r="M37" s="90" t="str">
        <f t="shared" si="6"/>
        <v>-</v>
      </c>
      <c r="N37" s="91" t="str">
        <f t="shared" si="7"/>
        <v>-</v>
      </c>
      <c r="O37" s="92" t="str">
        <f t="shared" si="8"/>
        <v>-</v>
      </c>
      <c r="P37" s="54">
        <f t="shared" si="9"/>
        <v>0</v>
      </c>
      <c r="Q37" s="93"/>
    </row>
    <row r="38" ht="21.75" customHeight="1" spans="1:17" x14ac:dyDescent="0.25">
      <c r="A38" s="85">
        <v>46387</v>
      </c>
      <c r="B38" s="87">
        <v>0</v>
      </c>
      <c r="C38" s="87">
        <v>0</v>
      </c>
      <c r="D38" s="53">
        <f t="shared" si="0"/>
        <v>0</v>
      </c>
      <c r="E38" s="87">
        <v>0</v>
      </c>
      <c r="F38" s="87">
        <v>0</v>
      </c>
      <c r="G38" s="87">
        <v>0</v>
      </c>
      <c r="H38" s="88">
        <f t="shared" si="1"/>
        <v>0</v>
      </c>
      <c r="I38" s="88">
        <f t="shared" si="2"/>
        <v>0</v>
      </c>
      <c r="J38" s="88">
        <f t="shared" si="3"/>
        <v>0</v>
      </c>
      <c r="K38" s="89">
        <f t="shared" si="4"/>
        <v>0</v>
      </c>
      <c r="L38" s="54">
        <f t="shared" si="5"/>
        <v>0</v>
      </c>
      <c r="M38" s="90" t="str">
        <f t="shared" si="6"/>
        <v>-</v>
      </c>
      <c r="N38" s="91" t="str">
        <f t="shared" si="7"/>
        <v>-</v>
      </c>
      <c r="O38" s="92" t="str">
        <f t="shared" si="8"/>
        <v>-</v>
      </c>
      <c r="P38" s="54">
        <f t="shared" si="9"/>
        <v>0</v>
      </c>
      <c r="Q38" s="93"/>
    </row>
    <row r="39" ht="27.75" customHeight="1" spans="1:17" x14ac:dyDescent="0.25">
      <c r="A39" s="94" t="s">
        <v>212</v>
      </c>
      <c r="B39" s="62">
        <f t="shared" ref="B39:L39" si="10">SUM(B8:B38)</f>
        <v>0</v>
      </c>
      <c r="C39" s="62">
        <f t="shared" si="10"/>
        <v>0</v>
      </c>
      <c r="D39" s="62">
        <f t="shared" si="10"/>
        <v>0</v>
      </c>
      <c r="E39" s="62">
        <f t="shared" si="10"/>
        <v>0</v>
      </c>
      <c r="F39" s="62">
        <f t="shared" si="10"/>
        <v>0</v>
      </c>
      <c r="G39" s="62">
        <f t="shared" si="10"/>
        <v>0</v>
      </c>
      <c r="H39" s="62">
        <f t="shared" si="10"/>
        <v>0</v>
      </c>
      <c r="I39" s="62">
        <f t="shared" si="10"/>
        <v>0</v>
      </c>
      <c r="J39" s="62">
        <f t="shared" si="10"/>
        <v>0</v>
      </c>
      <c r="K39" s="95">
        <f t="shared" si="10"/>
        <v>0</v>
      </c>
      <c r="L39" s="62">
        <f t="shared" si="10"/>
        <v>0</v>
      </c>
      <c r="M39" s="63" t="str">
        <f t="shared" si="6"/>
        <v>-</v>
      </c>
      <c r="N39" s="96" t="str">
        <f t="shared" si="7"/>
        <v>-</v>
      </c>
      <c r="O39" s="64" t="str">
        <f t="shared" si="8"/>
        <v>-</v>
      </c>
      <c r="P39" s="62">
        <f>L39</f>
        <v>0</v>
      </c>
      <c r="Q39" s="1"/>
    </row>
    <row r="40" ht="19.5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 spans="1:17" x14ac:dyDescent="0.25">
      <c r="A41" s="97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9.5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M2"/>
    <mergeCell ref="N2:Q2"/>
    <mergeCell ref="A4:C4"/>
    <mergeCell ref="D4:F4"/>
    <mergeCell ref="G4:I4"/>
    <mergeCell ref="J4:Q5"/>
    <mergeCell ref="A5:C5"/>
    <mergeCell ref="D5:F5"/>
    <mergeCell ref="G5:I5"/>
    <mergeCell ref="A6:Q6"/>
    <mergeCell ref="A41:Q41"/>
  </mergeCells>
  <conditionalFormatting sqref="L8:L38">
    <cfRule type="cellIs" dxfId="196" priority="1" operator="lessThan">
      <formula>0</formula>
    </cfRule>
  </conditionalFormatting>
  <conditionalFormatting sqref="L8:L38">
    <cfRule type="cellIs" dxfId="197" priority="2" operator="greaterThan">
      <formula>0</formula>
    </cfRule>
  </conditionalFormatting>
  <conditionalFormatting sqref="L39">
    <cfRule type="cellIs" dxfId="198" priority="3" operator="lessThan">
      <formula>0</formula>
    </cfRule>
  </conditionalFormatting>
  <conditionalFormatting sqref="L39">
    <cfRule type="cellIs" dxfId="199" priority="4" operator="greaterThan">
      <formula>0</formula>
    </cfRule>
  </conditionalFormatting>
  <conditionalFormatting sqref="P8:P38">
    <cfRule type="cellIs" dxfId="200" priority="5" operator="lessThan">
      <formula>0</formula>
    </cfRule>
  </conditionalFormatting>
  <conditionalFormatting sqref="P8:P38">
    <cfRule type="cellIs" dxfId="201" priority="6" operator="greaterThan">
      <formula>0</formula>
    </cfRule>
  </conditionalFormatting>
  <conditionalFormatting sqref="M8:M38">
    <cfRule type="cellIs" dxfId="202" priority="7" operator="lessThan">
      <formula>0</formula>
    </cfRule>
  </conditionalFormatting>
  <conditionalFormatting sqref="M8:M38">
    <cfRule type="cellIs" dxfId="203" priority="8" operator="between">
      <formula>0</formula>
      <formula>0.15</formula>
    </cfRule>
  </conditionalFormatting>
  <conditionalFormatting sqref="M8:M38">
    <cfRule type="cellIs" dxfId="204" priority="9" operator="greaterThan">
      <formula>0.15</formula>
    </cfRule>
  </conditionalFormatting>
  <conditionalFormatting sqref="M39">
    <cfRule type="cellIs" dxfId="205" priority="10" operator="lessThan">
      <formula>0</formula>
    </cfRule>
  </conditionalFormatting>
  <conditionalFormatting sqref="M39">
    <cfRule type="cellIs" dxfId="206" priority="11" operator="between">
      <formula>0</formula>
      <formula>0.15</formula>
    </cfRule>
  </conditionalFormatting>
  <conditionalFormatting sqref="M39">
    <cfRule type="cellIs" dxfId="207" priority="12" operator="greaterThan">
      <formula>0.15</formula>
    </cfRule>
  </conditionalFormatting>
  <dataValidations count="4">
    <dataValidation type="decimal" operator="greaterThanOrEqual" allowBlank="1" showInputMessage="1" prompt="Enter value - Enter a positive number (≥ 0)" showErrorMessage="1" sqref="B10:C38">
      <formula1>0</formula1>
    </dataValidation>
    <dataValidation type="decimal" operator="greaterThanOrEqual" allowBlank="1" showInputMessage="1" prompt="Enter value - Enter a positive number (≥ 0)" showErrorMessage="1" sqref="B8:C38">
      <formula1>0</formula1>
    </dataValidation>
    <dataValidation type="decimal" operator="greaterThanOrEqual" allowBlank="1" showInputMessage="1" prompt="Enter value - Enter a positive number (≥ 0)" showErrorMessage="1" sqref="E10:G38">
      <formula1>0</formula1>
    </dataValidation>
    <dataValidation type="decimal" operator="greaterThanOrEqual" allowBlank="1" showInputMessage="1" prompt="Enter value - Enter a positive number (≥ 0)" showErrorMessage="1" sqref="E8:G38">
      <formula1>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📋 SOP</vt:lpstr>
      <vt:lpstr>⚙ Settings</vt:lpstr>
      <vt:lpstr>📊 Dashboard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2026-08-17T23:16:27Z</dcterms:created>
  <dcterms:modified xsi:type="dcterms:W3CDTF">2026-08-17T23:16:27Z</dcterms:modified>
</cp:coreProperties>
</file>